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  <sheet state="visible" name="Task Managemnt" sheetId="2" r:id="rId4"/>
  </sheets>
  <definedNames/>
  <calcPr/>
</workbook>
</file>

<file path=xl/sharedStrings.xml><?xml version="1.0" encoding="utf-8"?>
<sst xmlns="http://schemas.openxmlformats.org/spreadsheetml/2006/main" count="237" uniqueCount="99">
  <si>
    <t>North Service Pro</t>
  </si>
  <si>
    <t>PROJECT TITLE</t>
  </si>
  <si>
    <t>North Services</t>
  </si>
  <si>
    <t>COMPANY NAME</t>
  </si>
  <si>
    <t>North Cleaning Services GmbH</t>
  </si>
  <si>
    <t>PROJECT MANAGER</t>
  </si>
  <si>
    <t>George Sebastian Cucuiet</t>
  </si>
  <si>
    <t>DATE</t>
  </si>
  <si>
    <t>WBS NUMBER</t>
  </si>
  <si>
    <t>TASK TITLE</t>
  </si>
  <si>
    <t>Monthly COST</t>
  </si>
  <si>
    <t>TASK OWNER</t>
  </si>
  <si>
    <t>START DATE</t>
  </si>
  <si>
    <t>DUE DATE</t>
  </si>
  <si>
    <t>DURATION</t>
  </si>
  <si>
    <t>PCT OF TASK COMPLETE</t>
  </si>
  <si>
    <t>PHASE ONE - tools preparation</t>
  </si>
  <si>
    <t>PHASE TWO</t>
  </si>
  <si>
    <t>PHASE THREE</t>
  </si>
  <si>
    <t>PHASE FOUR</t>
  </si>
  <si>
    <t>WEEK 31</t>
  </si>
  <si>
    <t>WEEK 32</t>
  </si>
  <si>
    <t>WEEK 33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</si>
  <si>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</si>
  <si>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</si>
  <si>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</si>
  <si>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</si>
  <si>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</si>
  <si>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</si>
  <si>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</si>
  <si>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</si>
  <si>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</si>
  <si>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</si>
  <si>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</si>
  <si>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</si>
  <si>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</si>
  <si>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</si>
  <si>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Website</t>
  </si>
  <si>
    <t>SEO</t>
  </si>
  <si>
    <t>George</t>
  </si>
  <si>
    <t>1.1.1</t>
  </si>
  <si>
    <t>Audit</t>
  </si>
  <si>
    <t>1.1.2</t>
  </si>
  <si>
    <t>Update WordPress Core &amp; Plugins</t>
  </si>
  <si>
    <t>1.1.3</t>
  </si>
  <si>
    <t>Configure Yoast SEO (Free or Premium)</t>
  </si>
  <si>
    <t>1.1.4</t>
  </si>
  <si>
    <t>Complete SEO Audit (Technical + On-page)</t>
  </si>
  <si>
    <t>1.1.5</t>
  </si>
  <si>
    <t>Keyword Research &amp; Competitor Analysis</t>
  </si>
  <si>
    <t>1.1.6</t>
  </si>
  <si>
    <t>On-Page Optimization (Titles, Meta, Alt Text)</t>
  </si>
  <si>
    <t>1.1.7</t>
  </si>
  <si>
    <t>Local SEO Setup (Google My Business, Directories)</t>
  </si>
  <si>
    <t>1.1.8</t>
  </si>
  <si>
    <t>Backlink Outreach Campaign</t>
  </si>
  <si>
    <t>Email marketing</t>
  </si>
  <si>
    <t>1.2.1</t>
  </si>
  <si>
    <t>1.2.2</t>
  </si>
  <si>
    <t>1.2.3</t>
  </si>
  <si>
    <t>1.2.4</t>
  </si>
  <si>
    <t>1.2.5</t>
  </si>
  <si>
    <t>LLM's</t>
  </si>
  <si>
    <t>Gather Website Requirements &amp; UX Wireframe</t>
  </si>
  <si>
    <t>Set Up Django Development Environment</t>
  </si>
  <si>
    <t>Develop Core Backend (Models, Admin)</t>
  </si>
  <si>
    <t>Implement Frontend (Templates, CSS, JS)</t>
  </si>
  <si>
    <t>Integrate SEO &amp; API Features</t>
  </si>
  <si>
    <t>Testing &amp; Bug Fixes</t>
  </si>
  <si>
    <t>Launch New Django Website</t>
  </si>
  <si>
    <t>OpenAI</t>
  </si>
  <si>
    <t>Claude</t>
  </si>
  <si>
    <t>Perplexity</t>
  </si>
  <si>
    <t>Cursor AI</t>
  </si>
  <si>
    <t>API's</t>
  </si>
  <si>
    <t>LLM</t>
  </si>
  <si>
    <t>3.1.1</t>
  </si>
  <si>
    <t>3.1.2</t>
  </si>
  <si>
    <t>3.1.3</t>
  </si>
  <si>
    <t>3.3.1</t>
  </si>
  <si>
    <t>3.3.2</t>
  </si>
  <si>
    <t>SERP</t>
  </si>
  <si>
    <t>3.3.3</t>
  </si>
  <si>
    <t>AI Agents</t>
  </si>
  <si>
    <t>Elevenlabs</t>
  </si>
  <si>
    <t>Malik M</t>
  </si>
  <si>
    <t>Social Media</t>
  </si>
  <si>
    <t>Facebook</t>
  </si>
  <si>
    <t>Instagram</t>
  </si>
  <si>
    <t>Linkedin</t>
  </si>
  <si>
    <t>TikTok</t>
  </si>
  <si>
    <t>Canva</t>
  </si>
  <si>
    <t>Define Job Profiles &amp; Requirements</t>
  </si>
  <si>
    <t>Recruitment</t>
  </si>
  <si>
    <t>Publish Job Ads on Platforms</t>
  </si>
  <si>
    <t>Screen Applicants</t>
  </si>
  <si>
    <t>Conduct Interviews</t>
  </si>
  <si>
    <t>Hire &amp; Onboard Staff</t>
  </si>
  <si>
    <t>Website Reconstruction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</si>
</sst>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]#,##0.00"/>
    <numFmt numFmtId="165" formatCode="dd&quot;/&quot;mm&quot;/&quot;yy"/>
    <numFmt numFmtId="166" formatCode="&quot;$&quot;#,##0.00"/>
    <numFmt numFmtId="167" formatCode="dd/mm/yyyy"/>
    <numFmt numFmtId="168" formatCode="yyyy-mm-dd"/>
  </numFmts>
  <fonts count="32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b/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164" xfId="0" applyAlignment="1" applyFont="1" applyNumberFormat="1">
      <alignment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164" xfId="0" applyAlignment="1" applyBorder="1" applyFont="1" applyNumberFormat="1">
      <alignment readingOrder="0" shrinkToFit="0" vertical="center" wrapText="0"/>
    </xf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9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164" xfId="0" applyAlignment="1" applyBorder="1" applyFont="1" applyNumberForma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5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20" numFmtId="0" xfId="0" applyAlignment="1" applyFont="1">
      <alignment vertical="center"/>
    </xf>
    <xf borderId="0" fillId="2" fontId="21" numFmtId="0" xfId="0" applyAlignment="1" applyFont="1">
      <alignment shrinkToFit="0" vertical="center" wrapText="0"/>
    </xf>
    <xf borderId="0" fillId="2" fontId="21" numFmtId="164" xfId="0" applyAlignment="1" applyFont="1" applyNumberFormat="1">
      <alignment shrinkToFit="0" vertical="center" wrapText="0"/>
    </xf>
    <xf borderId="0" fillId="2" fontId="21" numFmtId="0" xfId="0" applyAlignment="1" applyFon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0" fillId="3" fontId="22" numFmtId="0" xfId="0" applyAlignment="1" applyFill="1" applyFont="1">
      <alignment horizontal="center" readingOrder="0" shrinkToFit="0" vertical="center" wrapText="1"/>
    </xf>
    <xf borderId="0" fillId="3" fontId="22" numFmtId="164" xfId="0" applyAlignment="1" applyFont="1" applyNumberFormat="1">
      <alignment horizontal="center" readingOrder="0" shrinkToFit="0" vertical="center" wrapText="1"/>
    </xf>
    <xf borderId="3" fillId="4" fontId="23" numFmtId="0" xfId="0" applyAlignment="1" applyBorder="1" applyFill="1" applyFont="1">
      <alignment horizontal="center" readingOrder="0" shrinkToFit="0" vertical="center" wrapText="0"/>
    </xf>
    <xf borderId="3" fillId="5" fontId="23" numFmtId="0" xfId="0" applyAlignment="1" applyBorder="1" applyFill="1" applyFont="1">
      <alignment horizontal="center" readingOrder="0" shrinkToFit="0" vertical="center" wrapText="0"/>
    </xf>
    <xf borderId="3" fillId="6" fontId="23" numFmtId="0" xfId="0" applyAlignment="1" applyBorder="1" applyFill="1" applyFont="1">
      <alignment horizontal="center" readingOrder="0" shrinkToFit="0" vertical="center" wrapText="0"/>
    </xf>
    <xf borderId="3" fillId="7" fontId="23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4" numFmtId="0" xfId="0" applyAlignment="1" applyFont="1">
      <alignment vertical="center"/>
    </xf>
    <xf borderId="5" fillId="8" fontId="23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3" numFmtId="0" xfId="0" applyAlignment="1" applyBorder="1" applyFill="1" applyFont="1">
      <alignment horizontal="center" readingOrder="0" shrinkToFit="0" vertical="center" wrapText="0"/>
    </xf>
    <xf borderId="5" fillId="10" fontId="23" numFmtId="0" xfId="0" applyAlignment="1" applyBorder="1" applyFill="1" applyFont="1">
      <alignment horizontal="center" readingOrder="0" shrinkToFit="0" vertical="center" wrapText="0"/>
    </xf>
    <xf borderId="5" fillId="11" fontId="23" numFmtId="0" xfId="0" applyAlignment="1" applyBorder="1" applyFill="1" applyFont="1">
      <alignment horizontal="center" readingOrder="0" shrinkToFit="0" vertical="center" wrapText="0"/>
    </xf>
    <xf borderId="0" fillId="0" fontId="25" numFmtId="0" xfId="0" applyAlignment="1" applyFont="1">
      <alignment vertical="center"/>
    </xf>
    <xf borderId="8" fillId="12" fontId="26" numFmtId="0" xfId="0" applyAlignment="1" applyBorder="1" applyFill="1" applyFont="1">
      <alignment horizontal="center" readingOrder="0" shrinkToFit="0" vertical="center" wrapText="0"/>
    </xf>
    <xf borderId="8" fillId="13" fontId="26" numFmtId="0" xfId="0" applyAlignment="1" applyBorder="1" applyFill="1" applyFont="1">
      <alignment horizontal="center" readingOrder="0" shrinkToFit="0" vertical="center" wrapText="0"/>
    </xf>
    <xf borderId="8" fillId="14" fontId="26" numFmtId="0" xfId="0" applyAlignment="1" applyBorder="1" applyFill="1" applyFont="1">
      <alignment horizontal="center" readingOrder="0" shrinkToFit="0" vertical="center" wrapText="0"/>
    </xf>
    <xf borderId="8" fillId="15" fontId="26" numFmtId="0" xfId="0" applyAlignment="1" applyBorder="1" applyFill="1" applyFont="1">
      <alignment horizontal="center" readingOrder="0" shrinkToFit="0" vertical="center" wrapText="0"/>
    </xf>
    <xf borderId="9" fillId="16" fontId="27" numFmtId="0" xfId="0" applyAlignment="1" applyBorder="1" applyFill="1" applyFont="1">
      <alignment horizontal="left" readingOrder="0" shrinkToFit="0" vertical="center" wrapText="1"/>
    </xf>
    <xf borderId="9" fillId="16" fontId="27" numFmtId="0" xfId="0" applyAlignment="1" applyBorder="1" applyFont="1">
      <alignment readingOrder="0" shrinkToFit="0" vertical="center" wrapText="0"/>
    </xf>
    <xf borderId="9" fillId="16" fontId="27" numFmtId="164" xfId="0" applyAlignment="1" applyBorder="1" applyFont="1" applyNumberFormat="1">
      <alignment readingOrder="0" shrinkToFit="0" vertical="center" wrapText="1"/>
    </xf>
    <xf borderId="9" fillId="16" fontId="27" numFmtId="0" xfId="0" applyAlignment="1" applyBorder="1" applyFont="1">
      <alignment readingOrder="0" shrinkToFit="0" vertical="center" wrapText="1"/>
    </xf>
    <xf borderId="0" fillId="16" fontId="27" numFmtId="0" xfId="0" applyAlignment="1" applyFont="1">
      <alignment horizontal="center" shrinkToFit="0" vertical="center" wrapText="0"/>
    </xf>
    <xf borderId="0" fillId="16" fontId="27" numFmtId="166" xfId="0" applyAlignment="1" applyFont="1" applyNumberFormat="1">
      <alignment horizontal="center" shrinkToFit="0" vertical="center" wrapText="0"/>
    </xf>
    <xf borderId="0" fillId="16" fontId="27" numFmtId="3" xfId="0" applyAlignment="1" applyFont="1" applyNumberFormat="1">
      <alignment horizontal="center" shrinkToFit="0" vertical="center" wrapText="0"/>
    </xf>
    <xf borderId="0" fillId="16" fontId="27" numFmtId="0" xfId="0" applyAlignment="1" applyFont="1">
      <alignment horizontal="center" shrinkToFit="0" vertical="center" wrapText="0"/>
    </xf>
    <xf borderId="0" fillId="0" fontId="28" numFmtId="0" xfId="0" applyAlignment="1" applyFont="1">
      <alignment vertical="center"/>
    </xf>
    <xf borderId="10" fillId="0" fontId="29" numFmtId="0" xfId="0" applyAlignment="1" applyBorder="1" applyFont="1">
      <alignment horizontal="left" readingOrder="0" shrinkToFit="0" vertical="center" wrapText="1"/>
    </xf>
    <xf borderId="10" fillId="0" fontId="30" numFmtId="0" xfId="0" applyAlignment="1" applyBorder="1" applyFont="1">
      <alignment readingOrder="0" shrinkToFit="0" vertical="center" wrapText="1"/>
    </xf>
    <xf borderId="10" fillId="0" fontId="8" numFmtId="0" xfId="0" applyBorder="1" applyFont="1"/>
    <xf borderId="10" fillId="0" fontId="29" numFmtId="164" xfId="0" applyAlignment="1" applyBorder="1" applyFont="1" applyNumberFormat="1">
      <alignment readingOrder="0" shrinkToFit="0" vertical="center" wrapText="1"/>
    </xf>
    <xf borderId="10" fillId="0" fontId="29" numFmtId="0" xfId="0" applyAlignment="1" applyBorder="1" applyFont="1">
      <alignment readingOrder="0" shrinkToFit="0" vertical="center" wrapText="1"/>
    </xf>
    <xf borderId="10" fillId="0" fontId="29" numFmtId="167" xfId="0" applyAlignment="1" applyBorder="1" applyFont="1" applyNumberFormat="1">
      <alignment horizontal="left" readingOrder="0" shrinkToFit="0" vertical="center" wrapText="1"/>
    </xf>
    <xf borderId="10" fillId="0" fontId="29" numFmtId="165" xfId="0" applyAlignment="1" applyBorder="1" applyFont="1" applyNumberFormat="1">
      <alignment horizontal="left" readingOrder="0" shrinkToFit="0" vertical="center" wrapText="1"/>
    </xf>
    <xf borderId="10" fillId="0" fontId="29" numFmtId="0" xfId="0" applyAlignment="1" applyBorder="1" applyFont="1">
      <alignment horizontal="center" readingOrder="0" shrinkToFit="0" vertical="center" wrapText="1"/>
    </xf>
    <xf borderId="10" fillId="0" fontId="29" numFmtId="9" xfId="0" applyAlignment="1" applyBorder="1" applyFont="1" applyNumberFormat="1">
      <alignment horizontal="center" readingOrder="0" shrinkToFit="0" vertical="center" wrapText="1"/>
    </xf>
    <xf borderId="11" fillId="0" fontId="31" numFmtId="9" xfId="0" applyAlignment="1" applyBorder="1" applyFont="1" applyNumberFormat="1">
      <alignment horizontal="center" shrinkToFit="0" vertical="center" wrapText="0"/>
    </xf>
    <xf borderId="12" fillId="0" fontId="31" numFmtId="166" xfId="0" applyAlignment="1" applyBorder="1" applyFont="1" applyNumberFormat="1">
      <alignment horizontal="center" shrinkToFit="0" vertical="center" wrapText="0"/>
    </xf>
    <xf borderId="12" fillId="0" fontId="31" numFmtId="0" xfId="0" applyAlignment="1" applyBorder="1" applyFont="1">
      <alignment horizontal="center" shrinkToFit="0" vertical="center" wrapText="0"/>
    </xf>
    <xf borderId="12" fillId="17" fontId="31" numFmtId="0" xfId="0" applyAlignment="1" applyBorder="1" applyFill="1" applyFont="1">
      <alignment horizontal="center" shrinkToFit="0" vertical="center" wrapText="0"/>
    </xf>
    <xf borderId="12" fillId="17" fontId="31" numFmtId="0" xfId="0" applyAlignment="1" applyBorder="1" applyFont="1">
      <alignment horizontal="center" shrinkToFit="0" vertical="center" wrapText="0"/>
    </xf>
    <xf borderId="12" fillId="18" fontId="31" numFmtId="0" xfId="0" applyAlignment="1" applyBorder="1" applyFill="1" applyFont="1">
      <alignment horizontal="center" shrinkToFit="0" vertical="center" wrapText="0"/>
    </xf>
    <xf borderId="12" fillId="0" fontId="31" numFmtId="0" xfId="0" applyAlignment="1" applyBorder="1" applyFont="1">
      <alignment horizontal="center" shrinkToFit="0" vertical="center" wrapText="0"/>
    </xf>
    <xf borderId="12" fillId="19" fontId="31" numFmtId="0" xfId="0" applyAlignment="1" applyBorder="1" applyFill="1" applyFont="1">
      <alignment horizontal="center" shrinkToFit="0" vertical="center" wrapText="0"/>
    </xf>
    <xf borderId="12" fillId="20" fontId="31" numFmtId="0" xfId="0" applyAlignment="1" applyBorder="1" applyFill="1" applyFont="1">
      <alignment horizontal="center" shrinkToFit="0" vertical="center" wrapText="0"/>
    </xf>
    <xf borderId="12" fillId="21" fontId="31" numFmtId="0" xfId="0" applyAlignment="1" applyBorder="1" applyFill="1" applyFont="1">
      <alignment horizontal="center" shrinkToFit="0" vertical="center" wrapText="0"/>
    </xf>
    <xf borderId="13" fillId="0" fontId="31" numFmtId="0" xfId="0" applyAlignment="1" applyBorder="1" applyFont="1">
      <alignment horizontal="center" shrinkToFit="0" vertical="center" wrapText="0"/>
    </xf>
    <xf borderId="14" fillId="0" fontId="31" numFmtId="9" xfId="0" applyAlignment="1" applyBorder="1" applyFont="1" applyNumberFormat="1">
      <alignment horizontal="center" shrinkToFit="0" vertical="center" wrapText="0"/>
    </xf>
    <xf borderId="15" fillId="0" fontId="31" numFmtId="166" xfId="0" applyAlignment="1" applyBorder="1" applyFont="1" applyNumberFormat="1">
      <alignment horizontal="center" shrinkToFit="0" vertical="center" wrapText="0"/>
    </xf>
    <xf borderId="15" fillId="0" fontId="31" numFmtId="0" xfId="0" applyAlignment="1" applyBorder="1" applyFont="1">
      <alignment horizontal="center" shrinkToFit="0" vertical="center" wrapText="0"/>
    </xf>
    <xf borderId="15" fillId="0" fontId="31" numFmtId="0" xfId="0" applyAlignment="1" applyBorder="1" applyFont="1">
      <alignment horizontal="center" shrinkToFit="0" vertical="center" wrapText="0"/>
    </xf>
    <xf borderId="15" fillId="18" fontId="31" numFmtId="0" xfId="0" applyAlignment="1" applyBorder="1" applyFont="1">
      <alignment horizontal="center" shrinkToFit="0" vertical="center" wrapText="0"/>
    </xf>
    <xf borderId="15" fillId="18" fontId="31" numFmtId="0" xfId="0" applyAlignment="1" applyBorder="1" applyFont="1">
      <alignment horizontal="center" shrinkToFit="0" vertical="center" wrapText="0"/>
    </xf>
    <xf borderId="15" fillId="19" fontId="31" numFmtId="0" xfId="0" applyAlignment="1" applyBorder="1" applyFont="1">
      <alignment horizontal="center" shrinkToFit="0" vertical="center" wrapText="0"/>
    </xf>
    <xf borderId="15" fillId="20" fontId="31" numFmtId="0" xfId="0" applyAlignment="1" applyBorder="1" applyFont="1">
      <alignment horizontal="center" shrinkToFit="0" vertical="center" wrapText="0"/>
    </xf>
    <xf borderId="15" fillId="21" fontId="31" numFmtId="0" xfId="0" applyAlignment="1" applyBorder="1" applyFont="1">
      <alignment horizontal="center" shrinkToFit="0" vertical="center" wrapText="0"/>
    </xf>
    <xf borderId="16" fillId="0" fontId="31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readingOrder="0" shrinkToFit="0" vertical="center" wrapText="1"/>
    </xf>
    <xf borderId="0" fillId="0" fontId="29" numFmtId="164" xfId="0" applyAlignment="1" applyFont="1" applyNumberFormat="1">
      <alignment readingOrder="0" shrinkToFit="0" vertical="center" wrapText="1"/>
    </xf>
    <xf borderId="0" fillId="0" fontId="29" numFmtId="165" xfId="0" applyAlignment="1" applyFont="1" applyNumberFormat="1">
      <alignment horizontal="left" readingOrder="0" shrinkToFit="0" vertical="center" wrapText="1"/>
    </xf>
    <xf borderId="17" fillId="0" fontId="31" numFmtId="9" xfId="0" applyAlignment="1" applyBorder="1" applyFont="1" applyNumberFormat="1">
      <alignment horizontal="center" shrinkToFit="0" vertical="center" wrapText="0"/>
    </xf>
    <xf borderId="18" fillId="0" fontId="31" numFmtId="166" xfId="0" applyAlignment="1" applyBorder="1" applyFont="1" applyNumberFormat="1">
      <alignment horizontal="center" shrinkToFit="0" vertical="center" wrapText="0"/>
    </xf>
    <xf borderId="18" fillId="0" fontId="31" numFmtId="0" xfId="0" applyAlignment="1" applyBorder="1" applyFont="1">
      <alignment horizontal="center" shrinkToFit="0" vertical="center" wrapText="0"/>
    </xf>
    <xf borderId="18" fillId="18" fontId="31" numFmtId="0" xfId="0" applyAlignment="1" applyBorder="1" applyFont="1">
      <alignment horizontal="center" shrinkToFit="0" vertical="center" wrapText="0"/>
    </xf>
    <xf borderId="18" fillId="19" fontId="31" numFmtId="0" xfId="0" applyAlignment="1" applyBorder="1" applyFont="1">
      <alignment horizontal="center" shrinkToFit="0" vertical="center" wrapText="0"/>
    </xf>
    <xf borderId="18" fillId="20" fontId="31" numFmtId="0" xfId="0" applyAlignment="1" applyBorder="1" applyFont="1">
      <alignment horizontal="center" shrinkToFit="0" vertical="center" wrapText="0"/>
    </xf>
    <xf borderId="18" fillId="21" fontId="31" numFmtId="0" xfId="0" applyAlignment="1" applyBorder="1" applyFont="1">
      <alignment horizontal="center" shrinkToFit="0" vertical="center" wrapText="0"/>
    </xf>
    <xf borderId="19" fillId="0" fontId="31" numFmtId="0" xfId="0" applyAlignment="1" applyBorder="1" applyFont="1">
      <alignment horizontal="center" shrinkToFit="0" vertical="center" wrapText="0"/>
    </xf>
    <xf borderId="12" fillId="13" fontId="31" numFmtId="0" xfId="0" applyAlignment="1" applyBorder="1" applyFont="1">
      <alignment horizontal="center" shrinkToFit="0" vertical="center" wrapText="0"/>
    </xf>
    <xf borderId="10" fillId="22" fontId="29" numFmtId="9" xfId="0" applyAlignment="1" applyBorder="1" applyFill="1" applyFont="1" applyNumberFormat="1">
      <alignment horizontal="center" readingOrder="0" shrinkToFit="0" vertical="center" wrapText="1"/>
    </xf>
    <xf borderId="0" fillId="0" fontId="20" numFmtId="164" xfId="0" applyAlignment="1" applyFont="1" applyNumberFormat="1">
      <alignment vertical="center"/>
    </xf>
    <xf borderId="0" fillId="0" fontId="20" numFmtId="0" xfId="0" applyAlignment="1" applyFont="1">
      <alignment horizontal="center" vertical="center"/>
    </xf>
    <xf borderId="0" fillId="0" fontId="8" numFmtId="0" xfId="0" applyAlignment="1" applyFont="1">
      <alignment horizontal="left" readingOrder="0"/>
    </xf>
    <xf borderId="0" fillId="0" fontId="8" numFmtId="168" xfId="0" applyAlignment="1" applyFont="1" applyNumberFormat="1">
      <alignment horizontal="right" readingOrder="0"/>
    </xf>
    <xf borderId="0" fillId="0" fontId="8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.5"/>
    <col customWidth="1" min="4" max="4" width="46.75"/>
    <col customWidth="1" min="5" max="5" width="16.88"/>
    <col customWidth="1" min="6" max="6" width="12.13"/>
    <col customWidth="1" min="7" max="8" width="10.5"/>
    <col customWidth="1" min="9" max="9" width="8.63"/>
    <col customWidth="1" min="11" max="70" width="3.0"/>
    <col customWidth="1" min="71" max="71" width="3.38"/>
  </cols>
  <sheetData>
    <row r="1" ht="21.0" customHeight="1">
      <c r="A1" s="1"/>
      <c r="B1" s="2"/>
      <c r="C1" s="3"/>
      <c r="D1" s="3"/>
      <c r="E1" s="4"/>
      <c r="F1" s="3"/>
      <c r="G1" s="3"/>
      <c r="H1" s="5"/>
      <c r="I1" s="5"/>
      <c r="J1" s="3"/>
      <c r="K1" s="6"/>
      <c r="L1" s="7"/>
      <c r="M1" s="8"/>
      <c r="N1" s="9"/>
      <c r="O1" s="8"/>
      <c r="P1" s="1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1"/>
      <c r="AG1" s="11"/>
      <c r="AH1" s="11"/>
      <c r="AI1" s="11"/>
      <c r="AJ1" s="11"/>
      <c r="AK1" s="11"/>
      <c r="AL1" s="11"/>
      <c r="AM1" s="11"/>
      <c r="AN1" s="1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3"/>
      <c r="I2" s="13"/>
      <c r="J2" s="14"/>
      <c r="K2" s="15"/>
      <c r="L2" s="13"/>
      <c r="M2" s="13"/>
      <c r="N2" s="13"/>
      <c r="O2" s="13"/>
      <c r="P2" s="13"/>
      <c r="Q2" s="16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7"/>
      <c r="AI2" s="17"/>
      <c r="AJ2" s="17"/>
      <c r="AK2" s="17"/>
      <c r="AL2" s="17"/>
      <c r="AM2" s="17"/>
      <c r="AN2" s="17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ht="21.0" customHeight="1">
      <c r="A3" s="1"/>
      <c r="B3" s="18"/>
      <c r="C3" s="18"/>
      <c r="D3" s="18"/>
      <c r="E3" s="19"/>
      <c r="F3" s="20"/>
      <c r="G3" s="20"/>
      <c r="H3" s="20"/>
      <c r="I3" s="20"/>
      <c r="J3" s="20"/>
      <c r="K3" s="21"/>
      <c r="L3" s="21"/>
      <c r="M3" s="21"/>
      <c r="N3" s="21"/>
      <c r="O3" s="22"/>
      <c r="P3" s="22"/>
      <c r="Q3" s="2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1"/>
      <c r="AG3" s="11"/>
      <c r="AH3" s="11"/>
      <c r="AI3" s="11"/>
      <c r="AJ3" s="11"/>
      <c r="AK3" s="11"/>
      <c r="AL3" s="11"/>
      <c r="AM3" s="11"/>
      <c r="AN3" s="1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ht="21.0" customHeight="1">
      <c r="A4" s="1"/>
      <c r="B4" s="23" t="s">
        <v>1</v>
      </c>
      <c r="C4" s="24"/>
      <c r="D4" s="24"/>
      <c r="E4" s="25"/>
      <c r="F4" s="26" t="s">
        <v>2</v>
      </c>
      <c r="G4" s="24"/>
      <c r="H4" s="24"/>
      <c r="I4" s="24"/>
      <c r="J4" s="27"/>
      <c r="K4" s="23" t="s">
        <v>3</v>
      </c>
      <c r="L4" s="24"/>
      <c r="M4" s="24"/>
      <c r="N4" s="24"/>
      <c r="O4" s="24"/>
      <c r="P4" s="24"/>
      <c r="Q4" s="24"/>
      <c r="R4" s="28" t="s">
        <v>4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9"/>
      <c r="AF4" s="11"/>
      <c r="AG4" s="11"/>
      <c r="AH4" s="11"/>
      <c r="AI4" s="11"/>
      <c r="AJ4" s="11"/>
      <c r="AK4" s="11"/>
      <c r="AL4" s="11"/>
      <c r="AM4" s="11"/>
      <c r="AN4" s="1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ht="21.0" customHeight="1">
      <c r="A5" s="1"/>
      <c r="B5" s="23" t="s">
        <v>5</v>
      </c>
      <c r="C5" s="24"/>
      <c r="D5" s="24"/>
      <c r="E5" s="30"/>
      <c r="F5" s="31" t="s">
        <v>6</v>
      </c>
      <c r="G5" s="24"/>
      <c r="H5" s="24"/>
      <c r="I5" s="24"/>
      <c r="J5" s="32"/>
      <c r="K5" s="23" t="s">
        <v>7</v>
      </c>
      <c r="L5" s="24"/>
      <c r="M5" s="24"/>
      <c r="N5" s="24"/>
      <c r="O5" s="24"/>
      <c r="P5" s="24"/>
      <c r="Q5" s="24"/>
      <c r="R5" s="33">
        <f>today()</f>
        <v>46007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34"/>
      <c r="AE5" s="29"/>
      <c r="AF5" s="1"/>
      <c r="AG5" s="1"/>
      <c r="AH5" s="1"/>
      <c r="AI5" s="1"/>
      <c r="AJ5" s="1"/>
      <c r="AK5" s="1"/>
      <c r="AL5" s="1"/>
      <c r="AM5" s="1"/>
      <c r="AN5" s="35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ht="21.0" customHeight="1">
      <c r="A6" s="36"/>
      <c r="B6" s="37"/>
      <c r="C6" s="37"/>
      <c r="D6" s="37"/>
      <c r="E6" s="38"/>
      <c r="F6" s="37"/>
      <c r="G6" s="37"/>
      <c r="H6" s="37"/>
      <c r="I6" s="39"/>
      <c r="J6" s="39"/>
      <c r="K6" s="37"/>
      <c r="L6" s="37"/>
      <c r="M6" s="37"/>
      <c r="N6" s="37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</row>
    <row r="7" ht="21.0" customHeight="1">
      <c r="A7" s="36"/>
      <c r="B7" s="37"/>
      <c r="C7" s="37"/>
      <c r="D7" s="37"/>
      <c r="E7" s="38"/>
      <c r="F7" s="37"/>
      <c r="G7" s="37"/>
      <c r="H7" s="37"/>
      <c r="I7" s="39"/>
      <c r="J7" s="39"/>
      <c r="K7" s="37"/>
      <c r="L7" s="37"/>
      <c r="M7" s="37"/>
      <c r="N7" s="3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</row>
    <row r="8" ht="17.25" customHeight="1">
      <c r="A8" s="40"/>
      <c r="B8" s="41" t="s">
        <v>8</v>
      </c>
      <c r="C8" s="41"/>
      <c r="D8" s="41" t="s">
        <v>9</v>
      </c>
      <c r="E8" s="42" t="s">
        <v>10</v>
      </c>
      <c r="F8" s="41" t="s">
        <v>11</v>
      </c>
      <c r="G8" s="41" t="s">
        <v>12</v>
      </c>
      <c r="H8" s="41" t="s">
        <v>13</v>
      </c>
      <c r="I8" s="41" t="s">
        <v>14</v>
      </c>
      <c r="J8" s="41" t="s">
        <v>15</v>
      </c>
      <c r="K8" s="43" t="s">
        <v>16</v>
      </c>
      <c r="Z8" s="44" t="s">
        <v>17</v>
      </c>
      <c r="AO8" s="45" t="s">
        <v>18</v>
      </c>
      <c r="BD8" s="46" t="s">
        <v>19</v>
      </c>
      <c r="BR8" s="47"/>
      <c r="BS8" s="36"/>
    </row>
    <row r="9" ht="17.25" customHeight="1">
      <c r="A9" s="48"/>
      <c r="C9" s="41"/>
      <c r="K9" s="49" t="s">
        <v>20</v>
      </c>
      <c r="L9" s="50"/>
      <c r="M9" s="50"/>
      <c r="N9" s="50"/>
      <c r="O9" s="51"/>
      <c r="P9" s="49" t="s">
        <v>21</v>
      </c>
      <c r="Q9" s="50"/>
      <c r="R9" s="50"/>
      <c r="S9" s="50"/>
      <c r="T9" s="51"/>
      <c r="U9" s="49" t="s">
        <v>22</v>
      </c>
      <c r="V9" s="50"/>
      <c r="W9" s="50"/>
      <c r="X9" s="50"/>
      <c r="Y9" s="51"/>
      <c r="Z9" s="52" t="s">
        <v>23</v>
      </c>
      <c r="AA9" s="50"/>
      <c r="AB9" s="50"/>
      <c r="AC9" s="50"/>
      <c r="AD9" s="51"/>
      <c r="AE9" s="52" t="s">
        <v>24</v>
      </c>
      <c r="AF9" s="50"/>
      <c r="AG9" s="50"/>
      <c r="AH9" s="50"/>
      <c r="AI9" s="51"/>
      <c r="AJ9" s="52" t="s">
        <v>25</v>
      </c>
      <c r="AK9" s="50"/>
      <c r="AL9" s="50"/>
      <c r="AM9" s="50"/>
      <c r="AN9" s="51"/>
      <c r="AO9" s="53" t="s">
        <v>26</v>
      </c>
      <c r="AP9" s="50"/>
      <c r="AQ9" s="50"/>
      <c r="AR9" s="50"/>
      <c r="AS9" s="51"/>
      <c r="AT9" s="53" t="s">
        <v>27</v>
      </c>
      <c r="AU9" s="50"/>
      <c r="AV9" s="50"/>
      <c r="AW9" s="50"/>
      <c r="AX9" s="51"/>
      <c r="AY9" s="53" t="s">
        <v>28</v>
      </c>
      <c r="AZ9" s="50"/>
      <c r="BA9" s="50"/>
      <c r="BB9" s="50"/>
      <c r="BC9" s="51"/>
      <c r="BD9" s="54" t="s">
        <v>29</v>
      </c>
      <c r="BE9" s="50"/>
      <c r="BF9" s="50"/>
      <c r="BG9" s="50"/>
      <c r="BH9" s="51"/>
      <c r="BI9" s="54" t="s">
        <v>30</v>
      </c>
      <c r="BJ9" s="50"/>
      <c r="BK9" s="50"/>
      <c r="BL9" s="50"/>
      <c r="BM9" s="51"/>
      <c r="BN9" s="54" t="s">
        <v>31</v>
      </c>
      <c r="BO9" s="50"/>
      <c r="BP9" s="50"/>
      <c r="BQ9" s="50"/>
      <c r="BR9" s="51"/>
      <c r="BS9" s="48"/>
    </row>
    <row r="10" ht="17.25" customHeight="1">
      <c r="A10" s="55"/>
      <c r="C10" s="41"/>
      <c r="K10" s="56" t="s">
        <v>32</v>
      </c>
      <c r="L10" s="56" t="s">
        <v>33</v>
      </c>
      <c r="M10" s="56" t="s">
        <v>34</v>
      </c>
      <c r="N10" s="56" t="s">
        <v>35</v>
      </c>
      <c r="O10" s="56" t="s">
        <v>36</v>
      </c>
      <c r="P10" s="56" t="s">
        <v>32</v>
      </c>
      <c r="Q10" s="56" t="s">
        <v>33</v>
      </c>
      <c r="R10" s="56" t="s">
        <v>34</v>
      </c>
      <c r="S10" s="56" t="s">
        <v>35</v>
      </c>
      <c r="T10" s="56" t="s">
        <v>36</v>
      </c>
      <c r="U10" s="56" t="s">
        <v>32</v>
      </c>
      <c r="V10" s="56" t="s">
        <v>33</v>
      </c>
      <c r="W10" s="56" t="s">
        <v>34</v>
      </c>
      <c r="X10" s="56" t="s">
        <v>35</v>
      </c>
      <c r="Y10" s="56" t="s">
        <v>36</v>
      </c>
      <c r="Z10" s="57" t="s">
        <v>32</v>
      </c>
      <c r="AA10" s="57" t="s">
        <v>33</v>
      </c>
      <c r="AB10" s="57" t="s">
        <v>34</v>
      </c>
      <c r="AC10" s="57" t="s">
        <v>35</v>
      </c>
      <c r="AD10" s="57" t="s">
        <v>36</v>
      </c>
      <c r="AE10" s="57" t="s">
        <v>32</v>
      </c>
      <c r="AF10" s="57" t="s">
        <v>33</v>
      </c>
      <c r="AG10" s="57" t="s">
        <v>34</v>
      </c>
      <c r="AH10" s="57" t="s">
        <v>35</v>
      </c>
      <c r="AI10" s="57" t="s">
        <v>36</v>
      </c>
      <c r="AJ10" s="57" t="s">
        <v>32</v>
      </c>
      <c r="AK10" s="57" t="s">
        <v>33</v>
      </c>
      <c r="AL10" s="57" t="s">
        <v>34</v>
      </c>
      <c r="AM10" s="57" t="s">
        <v>35</v>
      </c>
      <c r="AN10" s="57" t="s">
        <v>36</v>
      </c>
      <c r="AO10" s="58" t="s">
        <v>32</v>
      </c>
      <c r="AP10" s="58" t="s">
        <v>33</v>
      </c>
      <c r="AQ10" s="58" t="s">
        <v>34</v>
      </c>
      <c r="AR10" s="58" t="s">
        <v>35</v>
      </c>
      <c r="AS10" s="58" t="s">
        <v>36</v>
      </c>
      <c r="AT10" s="58" t="s">
        <v>32</v>
      </c>
      <c r="AU10" s="58" t="s">
        <v>33</v>
      </c>
      <c r="AV10" s="58" t="s">
        <v>34</v>
      </c>
      <c r="AW10" s="58" t="s">
        <v>35</v>
      </c>
      <c r="AX10" s="58" t="s">
        <v>36</v>
      </c>
      <c r="AY10" s="58" t="s">
        <v>32</v>
      </c>
      <c r="AZ10" s="58" t="s">
        <v>33</v>
      </c>
      <c r="BA10" s="58" t="s">
        <v>34</v>
      </c>
      <c r="BB10" s="58" t="s">
        <v>35</v>
      </c>
      <c r="BC10" s="58" t="s">
        <v>36</v>
      </c>
      <c r="BD10" s="59" t="s">
        <v>32</v>
      </c>
      <c r="BE10" s="59" t="s">
        <v>33</v>
      </c>
      <c r="BF10" s="59" t="s">
        <v>34</v>
      </c>
      <c r="BG10" s="59" t="s">
        <v>35</v>
      </c>
      <c r="BH10" s="59" t="s">
        <v>36</v>
      </c>
      <c r="BI10" s="59" t="s">
        <v>32</v>
      </c>
      <c r="BJ10" s="59" t="s">
        <v>33</v>
      </c>
      <c r="BK10" s="59" t="s">
        <v>34</v>
      </c>
      <c r="BL10" s="59" t="s">
        <v>35</v>
      </c>
      <c r="BM10" s="59" t="s">
        <v>36</v>
      </c>
      <c r="BN10" s="59" t="s">
        <v>32</v>
      </c>
      <c r="BO10" s="59" t="s">
        <v>33</v>
      </c>
      <c r="BP10" s="59" t="s">
        <v>34</v>
      </c>
      <c r="BQ10" s="59" t="s">
        <v>35</v>
      </c>
      <c r="BR10" s="59" t="s">
        <v>36</v>
      </c>
      <c r="BS10" s="55"/>
    </row>
    <row r="11" ht="21.0" customHeight="1">
      <c r="A11" s="36"/>
      <c r="B11" s="60">
        <v>1.0</v>
      </c>
      <c r="C11" s="61"/>
      <c r="D11" s="61" t="s">
        <v>37</v>
      </c>
      <c r="E11" s="62"/>
      <c r="F11" s="63"/>
      <c r="G11" s="63"/>
      <c r="H11" s="63"/>
      <c r="I11" s="63"/>
      <c r="J11" s="63"/>
      <c r="K11" s="64"/>
      <c r="L11" s="65"/>
      <c r="M11" s="66"/>
      <c r="N11" s="66"/>
      <c r="O11" s="67"/>
      <c r="P11" s="64"/>
      <c r="Q11" s="67"/>
      <c r="R11" s="64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36"/>
    </row>
    <row r="12" ht="17.25" customHeight="1" outlineLevel="1">
      <c r="A12" s="68"/>
      <c r="B12" s="69">
        <v>1.1</v>
      </c>
      <c r="C12" s="70" t="s">
        <v>38</v>
      </c>
      <c r="D12" s="71"/>
      <c r="E12" s="72"/>
      <c r="F12" s="73" t="s">
        <v>39</v>
      </c>
      <c r="G12" s="74">
        <f>MIN(G13:G20)</f>
        <v>45871</v>
      </c>
      <c r="H12" s="75">
        <f>MAX(H13:H20)</f>
        <v>45892</v>
      </c>
      <c r="I12" s="76">
        <f>DAYS360(G12,H12)</f>
        <v>21</v>
      </c>
      <c r="J12" s="77">
        <v>0.0</v>
      </c>
      <c r="K12" s="78"/>
      <c r="L12" s="79"/>
      <c r="M12" s="80"/>
      <c r="N12" s="80"/>
      <c r="O12" s="81"/>
      <c r="P12" s="82"/>
      <c r="Q12" s="81"/>
      <c r="R12" s="83"/>
      <c r="S12" s="83"/>
      <c r="T12" s="83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85"/>
      <c r="AG12" s="85"/>
      <c r="AH12" s="85"/>
      <c r="AI12" s="85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6"/>
      <c r="AU12" s="86"/>
      <c r="AV12" s="86"/>
      <c r="AW12" s="86"/>
      <c r="AX12" s="86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7"/>
      <c r="BJ12" s="87"/>
      <c r="BK12" s="87"/>
      <c r="BL12" s="87"/>
      <c r="BM12" s="87"/>
      <c r="BN12" s="84"/>
      <c r="BO12" s="84"/>
      <c r="BP12" s="84"/>
      <c r="BQ12" s="84"/>
      <c r="BR12" s="88"/>
      <c r="BS12" s="68"/>
    </row>
    <row r="13" ht="17.25" customHeight="1" outlineLevel="1">
      <c r="A13" s="68"/>
      <c r="B13" s="69" t="s">
        <v>40</v>
      </c>
      <c r="C13" s="73"/>
      <c r="D13" s="73" t="s">
        <v>41</v>
      </c>
      <c r="E13" s="72"/>
      <c r="F13" s="73" t="s">
        <v>39</v>
      </c>
      <c r="G13" s="74">
        <v>45871.0</v>
      </c>
      <c r="H13" s="75">
        <f>G13+I13</f>
        <v>45875</v>
      </c>
      <c r="I13" s="76">
        <v>4.0</v>
      </c>
      <c r="J13" s="77">
        <v>0.0</v>
      </c>
      <c r="K13" s="89"/>
      <c r="L13" s="90"/>
      <c r="M13" s="91"/>
      <c r="N13" s="91"/>
      <c r="O13" s="92"/>
      <c r="P13" s="93"/>
      <c r="Q13" s="94"/>
      <c r="R13" s="83"/>
      <c r="S13" s="83"/>
      <c r="T13" s="83"/>
      <c r="U13" s="84"/>
      <c r="V13" s="84"/>
      <c r="W13" s="84"/>
      <c r="X13" s="84"/>
      <c r="Y13" s="84"/>
      <c r="Z13" s="92"/>
      <c r="AA13" s="92"/>
      <c r="AB13" s="92"/>
      <c r="AC13" s="92"/>
      <c r="AD13" s="92"/>
      <c r="AE13" s="95"/>
      <c r="AF13" s="95"/>
      <c r="AG13" s="95"/>
      <c r="AH13" s="95"/>
      <c r="AI13" s="95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6"/>
      <c r="AU13" s="96"/>
      <c r="AV13" s="96"/>
      <c r="AW13" s="96"/>
      <c r="AX13" s="96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7"/>
      <c r="BJ13" s="97"/>
      <c r="BK13" s="97"/>
      <c r="BL13" s="97"/>
      <c r="BM13" s="97"/>
      <c r="BN13" s="92"/>
      <c r="BO13" s="92"/>
      <c r="BP13" s="92"/>
      <c r="BQ13" s="92"/>
      <c r="BR13" s="98"/>
      <c r="BS13" s="68"/>
    </row>
    <row r="14" ht="17.25" customHeight="1" outlineLevel="1">
      <c r="A14" s="68"/>
      <c r="B14" s="69" t="s">
        <v>42</v>
      </c>
      <c r="C14" s="70"/>
      <c r="D14" s="73" t="s">
        <v>43</v>
      </c>
      <c r="E14" s="72"/>
      <c r="F14" s="73" t="s">
        <v>39</v>
      </c>
      <c r="G14" s="74">
        <v>45872.0</v>
      </c>
      <c r="H14" s="75">
        <v>45886.0</v>
      </c>
      <c r="I14" s="76">
        <f t="shared" ref="I14:I32" si="1">DAYS360(G14,H14)</f>
        <v>14</v>
      </c>
      <c r="J14" s="77">
        <v>0.0</v>
      </c>
      <c r="K14" s="89"/>
      <c r="L14" s="90"/>
      <c r="M14" s="91"/>
      <c r="N14" s="91"/>
      <c r="O14" s="92"/>
      <c r="P14" s="94"/>
      <c r="Q14" s="94"/>
      <c r="R14" s="83"/>
      <c r="S14" s="83"/>
      <c r="T14" s="83"/>
      <c r="U14" s="84"/>
      <c r="V14" s="84"/>
      <c r="W14" s="84"/>
      <c r="X14" s="84"/>
      <c r="Y14" s="84"/>
      <c r="Z14" s="92"/>
      <c r="AA14" s="92"/>
      <c r="AB14" s="92"/>
      <c r="AC14" s="92"/>
      <c r="AD14" s="92"/>
      <c r="AE14" s="95"/>
      <c r="AF14" s="95"/>
      <c r="AG14" s="95"/>
      <c r="AH14" s="95"/>
      <c r="AI14" s="95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6"/>
      <c r="AU14" s="96"/>
      <c r="AV14" s="96"/>
      <c r="AW14" s="96"/>
      <c r="AX14" s="96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7"/>
      <c r="BJ14" s="97"/>
      <c r="BK14" s="97"/>
      <c r="BL14" s="97"/>
      <c r="BM14" s="97"/>
      <c r="BN14" s="92"/>
      <c r="BO14" s="92"/>
      <c r="BP14" s="92"/>
      <c r="BQ14" s="92"/>
      <c r="BR14" s="98"/>
      <c r="BS14" s="68"/>
    </row>
    <row r="15" ht="17.25" customHeight="1" outlineLevel="1">
      <c r="A15" s="68"/>
      <c r="B15" s="69" t="s">
        <v>44</v>
      </c>
      <c r="C15" s="70"/>
      <c r="D15" s="73" t="s">
        <v>45</v>
      </c>
      <c r="E15" s="72"/>
      <c r="F15" s="73" t="s">
        <v>39</v>
      </c>
      <c r="G15" s="74">
        <v>45873.0</v>
      </c>
      <c r="H15" s="75">
        <v>45887.0</v>
      </c>
      <c r="I15" s="76">
        <f t="shared" si="1"/>
        <v>14</v>
      </c>
      <c r="J15" s="77">
        <v>0.0</v>
      </c>
      <c r="K15" s="89"/>
      <c r="L15" s="90"/>
      <c r="M15" s="91"/>
      <c r="N15" s="91"/>
      <c r="O15" s="92"/>
      <c r="P15" s="94"/>
      <c r="Q15" s="94"/>
      <c r="R15" s="83"/>
      <c r="S15" s="83"/>
      <c r="T15" s="83"/>
      <c r="U15" s="84"/>
      <c r="V15" s="84"/>
      <c r="W15" s="84"/>
      <c r="X15" s="84"/>
      <c r="Y15" s="84"/>
      <c r="Z15" s="92"/>
      <c r="AA15" s="92"/>
      <c r="AB15" s="92"/>
      <c r="AC15" s="92"/>
      <c r="AD15" s="92"/>
      <c r="AE15" s="95"/>
      <c r="AF15" s="95"/>
      <c r="AG15" s="95"/>
      <c r="AH15" s="95"/>
      <c r="AI15" s="95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6"/>
      <c r="AU15" s="96"/>
      <c r="AV15" s="96"/>
      <c r="AW15" s="96"/>
      <c r="AX15" s="96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7"/>
      <c r="BJ15" s="97"/>
      <c r="BK15" s="97"/>
      <c r="BL15" s="97"/>
      <c r="BM15" s="97"/>
      <c r="BN15" s="92"/>
      <c r="BO15" s="92"/>
      <c r="BP15" s="92"/>
      <c r="BQ15" s="92"/>
      <c r="BR15" s="98"/>
      <c r="BS15" s="68"/>
    </row>
    <row r="16" ht="17.25" customHeight="1" outlineLevel="1">
      <c r="A16" s="68"/>
      <c r="B16" s="69" t="s">
        <v>46</v>
      </c>
      <c r="C16" s="70"/>
      <c r="D16" s="73" t="s">
        <v>47</v>
      </c>
      <c r="E16" s="72"/>
      <c r="F16" s="73" t="s">
        <v>39</v>
      </c>
      <c r="G16" s="74">
        <v>45874.0</v>
      </c>
      <c r="H16" s="75">
        <v>45888.0</v>
      </c>
      <c r="I16" s="76">
        <f t="shared" si="1"/>
        <v>14</v>
      </c>
      <c r="J16" s="77">
        <v>0.0</v>
      </c>
      <c r="K16" s="89"/>
      <c r="L16" s="90"/>
      <c r="M16" s="91"/>
      <c r="N16" s="91"/>
      <c r="O16" s="92"/>
      <c r="P16" s="94"/>
      <c r="Q16" s="94"/>
      <c r="R16" s="83"/>
      <c r="S16" s="83"/>
      <c r="T16" s="83"/>
      <c r="U16" s="84"/>
      <c r="V16" s="84"/>
      <c r="W16" s="84"/>
      <c r="X16" s="84"/>
      <c r="Y16" s="84"/>
      <c r="Z16" s="92"/>
      <c r="AA16" s="92"/>
      <c r="AB16" s="92"/>
      <c r="AC16" s="92"/>
      <c r="AD16" s="92"/>
      <c r="AE16" s="95"/>
      <c r="AF16" s="95"/>
      <c r="AG16" s="95"/>
      <c r="AH16" s="95"/>
      <c r="AI16" s="95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6"/>
      <c r="AU16" s="96"/>
      <c r="AV16" s="96"/>
      <c r="AW16" s="96"/>
      <c r="AX16" s="96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7"/>
      <c r="BJ16" s="97"/>
      <c r="BK16" s="97"/>
      <c r="BL16" s="97"/>
      <c r="BM16" s="97"/>
      <c r="BN16" s="92"/>
      <c r="BO16" s="92"/>
      <c r="BP16" s="92"/>
      <c r="BQ16" s="92"/>
      <c r="BR16" s="98"/>
      <c r="BS16" s="68"/>
    </row>
    <row r="17" ht="17.25" customHeight="1" outlineLevel="1">
      <c r="A17" s="68"/>
      <c r="B17" s="69" t="s">
        <v>48</v>
      </c>
      <c r="C17" s="70"/>
      <c r="D17" s="73" t="s">
        <v>49</v>
      </c>
      <c r="E17" s="72"/>
      <c r="F17" s="73" t="s">
        <v>39</v>
      </c>
      <c r="G17" s="74">
        <v>45875.0</v>
      </c>
      <c r="H17" s="75">
        <v>45889.0</v>
      </c>
      <c r="I17" s="76">
        <f t="shared" si="1"/>
        <v>14</v>
      </c>
      <c r="J17" s="77">
        <v>0.0</v>
      </c>
      <c r="K17" s="89"/>
      <c r="L17" s="90"/>
      <c r="M17" s="91"/>
      <c r="N17" s="91"/>
      <c r="O17" s="92"/>
      <c r="P17" s="94"/>
      <c r="Q17" s="94"/>
      <c r="R17" s="83"/>
      <c r="S17" s="83"/>
      <c r="T17" s="83"/>
      <c r="U17" s="84"/>
      <c r="V17" s="84"/>
      <c r="W17" s="84"/>
      <c r="X17" s="84"/>
      <c r="Y17" s="84"/>
      <c r="Z17" s="92"/>
      <c r="AA17" s="92"/>
      <c r="AB17" s="92"/>
      <c r="AC17" s="92"/>
      <c r="AD17" s="92"/>
      <c r="AE17" s="95"/>
      <c r="AF17" s="95"/>
      <c r="AG17" s="95"/>
      <c r="AH17" s="95"/>
      <c r="AI17" s="95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6"/>
      <c r="AU17" s="96"/>
      <c r="AV17" s="96"/>
      <c r="AW17" s="96"/>
      <c r="AX17" s="96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7"/>
      <c r="BJ17" s="97"/>
      <c r="BK17" s="97"/>
      <c r="BL17" s="97"/>
      <c r="BM17" s="97"/>
      <c r="BN17" s="92"/>
      <c r="BO17" s="92"/>
      <c r="BP17" s="92"/>
      <c r="BQ17" s="92"/>
      <c r="BR17" s="98"/>
      <c r="BS17" s="68"/>
    </row>
    <row r="18" ht="17.25" customHeight="1" outlineLevel="1">
      <c r="A18" s="68"/>
      <c r="B18" s="69" t="s">
        <v>50</v>
      </c>
      <c r="C18" s="70"/>
      <c r="D18" s="73" t="s">
        <v>51</v>
      </c>
      <c r="E18" s="72"/>
      <c r="F18" s="73" t="s">
        <v>39</v>
      </c>
      <c r="G18" s="74">
        <v>45876.0</v>
      </c>
      <c r="H18" s="75">
        <v>45890.0</v>
      </c>
      <c r="I18" s="76">
        <f t="shared" si="1"/>
        <v>14</v>
      </c>
      <c r="J18" s="77">
        <v>0.0</v>
      </c>
      <c r="K18" s="89"/>
      <c r="L18" s="90"/>
      <c r="M18" s="91"/>
      <c r="N18" s="91"/>
      <c r="O18" s="92"/>
      <c r="P18" s="94"/>
      <c r="Q18" s="94"/>
      <c r="R18" s="83"/>
      <c r="S18" s="83"/>
      <c r="T18" s="83"/>
      <c r="U18" s="84"/>
      <c r="V18" s="84"/>
      <c r="W18" s="84"/>
      <c r="X18" s="84"/>
      <c r="Y18" s="84"/>
      <c r="Z18" s="92"/>
      <c r="AA18" s="92"/>
      <c r="AB18" s="92"/>
      <c r="AC18" s="92"/>
      <c r="AD18" s="92"/>
      <c r="AE18" s="95"/>
      <c r="AF18" s="95"/>
      <c r="AG18" s="95"/>
      <c r="AH18" s="95"/>
      <c r="AI18" s="95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6"/>
      <c r="AU18" s="96"/>
      <c r="AV18" s="96"/>
      <c r="AW18" s="96"/>
      <c r="AX18" s="96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7"/>
      <c r="BJ18" s="97"/>
      <c r="BK18" s="97"/>
      <c r="BL18" s="97"/>
      <c r="BM18" s="97"/>
      <c r="BN18" s="92"/>
      <c r="BO18" s="92"/>
      <c r="BP18" s="92"/>
      <c r="BQ18" s="92"/>
      <c r="BR18" s="98"/>
      <c r="BS18" s="68"/>
    </row>
    <row r="19" ht="17.25" customHeight="1" outlineLevel="1">
      <c r="A19" s="68"/>
      <c r="B19" s="69" t="s">
        <v>52</v>
      </c>
      <c r="C19" s="70"/>
      <c r="D19" s="73" t="s">
        <v>53</v>
      </c>
      <c r="E19" s="72"/>
      <c r="F19" s="73" t="s">
        <v>39</v>
      </c>
      <c r="G19" s="74">
        <v>45877.0</v>
      </c>
      <c r="H19" s="75">
        <v>45891.0</v>
      </c>
      <c r="I19" s="76">
        <f t="shared" si="1"/>
        <v>14</v>
      </c>
      <c r="J19" s="77">
        <v>0.0</v>
      </c>
      <c r="K19" s="89"/>
      <c r="L19" s="90"/>
      <c r="M19" s="91"/>
      <c r="N19" s="91"/>
      <c r="O19" s="92"/>
      <c r="P19" s="94"/>
      <c r="Q19" s="94"/>
      <c r="R19" s="83"/>
      <c r="S19" s="83"/>
      <c r="T19" s="83"/>
      <c r="U19" s="84"/>
      <c r="V19" s="84"/>
      <c r="W19" s="84"/>
      <c r="X19" s="84"/>
      <c r="Y19" s="84"/>
      <c r="Z19" s="92"/>
      <c r="AA19" s="92"/>
      <c r="AB19" s="92"/>
      <c r="AC19" s="92"/>
      <c r="AD19" s="92"/>
      <c r="AE19" s="95"/>
      <c r="AF19" s="95"/>
      <c r="AG19" s="95"/>
      <c r="AH19" s="95"/>
      <c r="AI19" s="95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6"/>
      <c r="AU19" s="96"/>
      <c r="AV19" s="96"/>
      <c r="AW19" s="96"/>
      <c r="AX19" s="96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7"/>
      <c r="BJ19" s="97"/>
      <c r="BK19" s="97"/>
      <c r="BL19" s="97"/>
      <c r="BM19" s="97"/>
      <c r="BN19" s="92"/>
      <c r="BO19" s="92"/>
      <c r="BP19" s="92"/>
      <c r="BQ19" s="92"/>
      <c r="BR19" s="98"/>
      <c r="BS19" s="68"/>
    </row>
    <row r="20" ht="17.25" customHeight="1" outlineLevel="1">
      <c r="A20" s="68"/>
      <c r="B20" s="69" t="s">
        <v>54</v>
      </c>
      <c r="C20" s="70"/>
      <c r="D20" s="73" t="s">
        <v>55</v>
      </c>
      <c r="E20" s="72"/>
      <c r="F20" s="73" t="s">
        <v>39</v>
      </c>
      <c r="G20" s="74">
        <v>45878.0</v>
      </c>
      <c r="H20" s="75">
        <v>45892.0</v>
      </c>
      <c r="I20" s="76">
        <f t="shared" si="1"/>
        <v>14</v>
      </c>
      <c r="J20" s="77">
        <v>0.0</v>
      </c>
      <c r="K20" s="89"/>
      <c r="L20" s="90"/>
      <c r="M20" s="91"/>
      <c r="N20" s="91"/>
      <c r="O20" s="92"/>
      <c r="P20" s="94"/>
      <c r="Q20" s="94"/>
      <c r="R20" s="83"/>
      <c r="S20" s="83"/>
      <c r="T20" s="83"/>
      <c r="U20" s="84"/>
      <c r="V20" s="84"/>
      <c r="W20" s="84"/>
      <c r="X20" s="84"/>
      <c r="Y20" s="84"/>
      <c r="Z20" s="92"/>
      <c r="AA20" s="92"/>
      <c r="AB20" s="92"/>
      <c r="AC20" s="92"/>
      <c r="AD20" s="92"/>
      <c r="AE20" s="95"/>
      <c r="AF20" s="95"/>
      <c r="AG20" s="95"/>
      <c r="AH20" s="95"/>
      <c r="AI20" s="95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6"/>
      <c r="AU20" s="96"/>
      <c r="AV20" s="96"/>
      <c r="AW20" s="96"/>
      <c r="AX20" s="96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7"/>
      <c r="BJ20" s="97"/>
      <c r="BK20" s="97"/>
      <c r="BL20" s="97"/>
      <c r="BM20" s="97"/>
      <c r="BN20" s="92"/>
      <c r="BO20" s="92"/>
      <c r="BP20" s="92"/>
      <c r="BQ20" s="92"/>
      <c r="BR20" s="98"/>
      <c r="BS20" s="68"/>
    </row>
    <row r="21" ht="17.25" customHeight="1" outlineLevel="1">
      <c r="A21" s="68"/>
      <c r="B21" s="69">
        <v>1.2</v>
      </c>
      <c r="C21" s="70" t="s">
        <v>56</v>
      </c>
      <c r="D21" s="71"/>
      <c r="E21" s="72"/>
      <c r="F21" s="73" t="s">
        <v>39</v>
      </c>
      <c r="G21" s="75"/>
      <c r="H21" s="75"/>
      <c r="I21" s="76">
        <f t="shared" si="1"/>
        <v>0</v>
      </c>
      <c r="J21" s="77">
        <v>0.0</v>
      </c>
      <c r="K21" s="89"/>
      <c r="L21" s="90"/>
      <c r="M21" s="91"/>
      <c r="N21" s="91"/>
      <c r="O21" s="92"/>
      <c r="P21" s="94"/>
      <c r="Q21" s="94"/>
      <c r="R21" s="83"/>
      <c r="S21" s="83"/>
      <c r="T21" s="83"/>
      <c r="U21" s="84"/>
      <c r="V21" s="84"/>
      <c r="W21" s="84"/>
      <c r="X21" s="84"/>
      <c r="Y21" s="84"/>
      <c r="Z21" s="92"/>
      <c r="AA21" s="92"/>
      <c r="AB21" s="92"/>
      <c r="AC21" s="92"/>
      <c r="AD21" s="92"/>
      <c r="AE21" s="95"/>
      <c r="AF21" s="95"/>
      <c r="AG21" s="95"/>
      <c r="AH21" s="95"/>
      <c r="AI21" s="95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6"/>
      <c r="AU21" s="96"/>
      <c r="AV21" s="96"/>
      <c r="AW21" s="96"/>
      <c r="AX21" s="96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7"/>
      <c r="BJ21" s="97"/>
      <c r="BK21" s="97"/>
      <c r="BL21" s="97"/>
      <c r="BM21" s="97"/>
      <c r="BN21" s="92"/>
      <c r="BO21" s="92"/>
      <c r="BP21" s="92"/>
      <c r="BQ21" s="92"/>
      <c r="BR21" s="98"/>
      <c r="BS21" s="68"/>
    </row>
    <row r="22" ht="17.25" customHeight="1" outlineLevel="1">
      <c r="A22" s="68"/>
      <c r="B22" s="69" t="s">
        <v>57</v>
      </c>
      <c r="C22" s="73"/>
      <c r="D22" s="73" t="str">
        <f>'Task Managemnt'!A10</f>
        <v>Define Job Profiles &amp; Requirements</v>
      </c>
      <c r="E22" s="72"/>
      <c r="F22" s="73" t="s">
        <v>39</v>
      </c>
      <c r="G22" s="75"/>
      <c r="H22" s="75"/>
      <c r="I22" s="76">
        <f t="shared" si="1"/>
        <v>0</v>
      </c>
      <c r="J22" s="77">
        <v>0.0</v>
      </c>
      <c r="K22" s="89"/>
      <c r="L22" s="90"/>
      <c r="M22" s="91"/>
      <c r="N22" s="91"/>
      <c r="O22" s="92"/>
      <c r="P22" s="93"/>
      <c r="Q22" s="94"/>
      <c r="R22" s="83"/>
      <c r="S22" s="83"/>
      <c r="T22" s="83"/>
      <c r="U22" s="84"/>
      <c r="V22" s="84"/>
      <c r="W22" s="84"/>
      <c r="X22" s="84"/>
      <c r="Y22" s="84"/>
      <c r="Z22" s="92"/>
      <c r="AA22" s="92"/>
      <c r="AB22" s="92"/>
      <c r="AC22" s="92"/>
      <c r="AD22" s="92"/>
      <c r="AE22" s="95"/>
      <c r="AF22" s="95"/>
      <c r="AG22" s="95"/>
      <c r="AH22" s="95"/>
      <c r="AI22" s="95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6"/>
      <c r="AU22" s="96"/>
      <c r="AV22" s="96"/>
      <c r="AW22" s="96"/>
      <c r="AX22" s="96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7"/>
      <c r="BJ22" s="97"/>
      <c r="BK22" s="97"/>
      <c r="BL22" s="97"/>
      <c r="BM22" s="97"/>
      <c r="BN22" s="92"/>
      <c r="BO22" s="92"/>
      <c r="BP22" s="92"/>
      <c r="BQ22" s="92"/>
      <c r="BR22" s="98"/>
      <c r="BS22" s="68"/>
    </row>
    <row r="23" ht="17.25" customHeight="1" outlineLevel="1">
      <c r="A23" s="68"/>
      <c r="B23" s="69" t="s">
        <v>58</v>
      </c>
      <c r="C23" s="73"/>
      <c r="D23" s="73" t="str">
        <f>'Task Managemnt'!A11</f>
        <v>Publish Job Ads on Platforms</v>
      </c>
      <c r="E23" s="72"/>
      <c r="F23" s="73" t="s">
        <v>39</v>
      </c>
      <c r="G23" s="75"/>
      <c r="H23" s="75"/>
      <c r="I23" s="76">
        <f t="shared" si="1"/>
        <v>0</v>
      </c>
      <c r="J23" s="77">
        <v>0.0</v>
      </c>
      <c r="K23" s="89"/>
      <c r="L23" s="90"/>
      <c r="M23" s="91"/>
      <c r="N23" s="91"/>
      <c r="O23" s="92"/>
      <c r="P23" s="94"/>
      <c r="Q23" s="94"/>
      <c r="R23" s="83"/>
      <c r="S23" s="83"/>
      <c r="T23" s="83"/>
      <c r="U23" s="84"/>
      <c r="V23" s="84"/>
      <c r="W23" s="84"/>
      <c r="X23" s="84"/>
      <c r="Y23" s="84"/>
      <c r="Z23" s="92"/>
      <c r="AA23" s="92"/>
      <c r="AB23" s="92"/>
      <c r="AC23" s="92"/>
      <c r="AD23" s="92"/>
      <c r="AE23" s="95"/>
      <c r="AF23" s="95"/>
      <c r="AG23" s="95"/>
      <c r="AH23" s="95"/>
      <c r="AI23" s="95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6"/>
      <c r="AU23" s="96"/>
      <c r="AV23" s="96"/>
      <c r="AW23" s="96"/>
      <c r="AX23" s="96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7"/>
      <c r="BJ23" s="97"/>
      <c r="BK23" s="97"/>
      <c r="BL23" s="97"/>
      <c r="BM23" s="97"/>
      <c r="BN23" s="92"/>
      <c r="BO23" s="92"/>
      <c r="BP23" s="92"/>
      <c r="BQ23" s="92"/>
      <c r="BR23" s="98"/>
      <c r="BS23" s="68"/>
    </row>
    <row r="24" ht="17.25" customHeight="1" outlineLevel="1">
      <c r="A24" s="68"/>
      <c r="B24" s="69" t="s">
        <v>59</v>
      </c>
      <c r="C24" s="73"/>
      <c r="D24" s="73" t="str">
        <f>'Task Managemnt'!A12</f>
        <v>Screen Applicants</v>
      </c>
      <c r="E24" s="72"/>
      <c r="F24" s="73" t="s">
        <v>39</v>
      </c>
      <c r="G24" s="75"/>
      <c r="H24" s="75"/>
      <c r="I24" s="76">
        <f t="shared" si="1"/>
        <v>0</v>
      </c>
      <c r="J24" s="77">
        <v>0.0</v>
      </c>
      <c r="K24" s="89"/>
      <c r="L24" s="90"/>
      <c r="M24" s="91"/>
      <c r="N24" s="91"/>
      <c r="O24" s="92"/>
      <c r="P24" s="94"/>
      <c r="Q24" s="94"/>
      <c r="R24" s="83"/>
      <c r="S24" s="83"/>
      <c r="T24" s="83"/>
      <c r="U24" s="84"/>
      <c r="V24" s="84"/>
      <c r="W24" s="84"/>
      <c r="X24" s="84"/>
      <c r="Y24" s="84"/>
      <c r="Z24" s="92"/>
      <c r="AA24" s="92"/>
      <c r="AB24" s="92"/>
      <c r="AC24" s="92"/>
      <c r="AD24" s="92"/>
      <c r="AE24" s="95"/>
      <c r="AF24" s="95"/>
      <c r="AG24" s="95"/>
      <c r="AH24" s="95"/>
      <c r="AI24" s="95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6"/>
      <c r="AU24" s="96"/>
      <c r="AV24" s="96"/>
      <c r="AW24" s="96"/>
      <c r="AX24" s="96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7"/>
      <c r="BJ24" s="97"/>
      <c r="BK24" s="97"/>
      <c r="BL24" s="97"/>
      <c r="BM24" s="97"/>
      <c r="BN24" s="92"/>
      <c r="BO24" s="92"/>
      <c r="BP24" s="92"/>
      <c r="BQ24" s="92"/>
      <c r="BR24" s="98"/>
      <c r="BS24" s="68"/>
    </row>
    <row r="25" ht="17.25" customHeight="1" outlineLevel="1">
      <c r="A25" s="68"/>
      <c r="B25" s="69" t="s">
        <v>60</v>
      </c>
      <c r="C25" s="73"/>
      <c r="D25" s="73" t="str">
        <f>'Task Managemnt'!A13</f>
        <v>Conduct Interviews</v>
      </c>
      <c r="E25" s="72"/>
      <c r="F25" s="73" t="s">
        <v>39</v>
      </c>
      <c r="G25" s="75"/>
      <c r="H25" s="75"/>
      <c r="I25" s="76">
        <f t="shared" si="1"/>
        <v>0</v>
      </c>
      <c r="J25" s="77">
        <v>0.0</v>
      </c>
      <c r="K25" s="89"/>
      <c r="L25" s="90"/>
      <c r="M25" s="91"/>
      <c r="N25" s="91"/>
      <c r="O25" s="92"/>
      <c r="P25" s="94"/>
      <c r="Q25" s="94"/>
      <c r="R25" s="83"/>
      <c r="S25" s="83"/>
      <c r="T25" s="83"/>
      <c r="U25" s="84"/>
      <c r="V25" s="84"/>
      <c r="W25" s="84"/>
      <c r="X25" s="84"/>
      <c r="Y25" s="84"/>
      <c r="Z25" s="92"/>
      <c r="AA25" s="92"/>
      <c r="AB25" s="92"/>
      <c r="AC25" s="92"/>
      <c r="AD25" s="92"/>
      <c r="AE25" s="95"/>
      <c r="AF25" s="95"/>
      <c r="AG25" s="95"/>
      <c r="AH25" s="95"/>
      <c r="AI25" s="95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6"/>
      <c r="AU25" s="96"/>
      <c r="AV25" s="96"/>
      <c r="AW25" s="96"/>
      <c r="AX25" s="96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7"/>
      <c r="BJ25" s="97"/>
      <c r="BK25" s="97"/>
      <c r="BL25" s="97"/>
      <c r="BM25" s="97"/>
      <c r="BN25" s="92"/>
      <c r="BO25" s="92"/>
      <c r="BP25" s="92"/>
      <c r="BQ25" s="92"/>
      <c r="BR25" s="98"/>
      <c r="BS25" s="68"/>
    </row>
    <row r="26" ht="17.25" customHeight="1" outlineLevel="1">
      <c r="A26" s="68"/>
      <c r="B26" s="69" t="s">
        <v>61</v>
      </c>
      <c r="C26" s="73"/>
      <c r="D26" s="73" t="str">
        <f>'Task Managemnt'!A14</f>
        <v>Hire &amp; Onboard Staff</v>
      </c>
      <c r="E26" s="72"/>
      <c r="F26" s="73" t="s">
        <v>39</v>
      </c>
      <c r="G26" s="75"/>
      <c r="H26" s="75"/>
      <c r="I26" s="76">
        <f t="shared" si="1"/>
        <v>0</v>
      </c>
      <c r="J26" s="77">
        <v>0.0</v>
      </c>
      <c r="K26" s="89"/>
      <c r="L26" s="90"/>
      <c r="M26" s="91"/>
      <c r="N26" s="91"/>
      <c r="O26" s="92"/>
      <c r="P26" s="94"/>
      <c r="Q26" s="94"/>
      <c r="R26" s="83"/>
      <c r="S26" s="83"/>
      <c r="T26" s="83"/>
      <c r="U26" s="84"/>
      <c r="V26" s="84"/>
      <c r="W26" s="84"/>
      <c r="X26" s="84"/>
      <c r="Y26" s="84"/>
      <c r="Z26" s="92"/>
      <c r="AA26" s="92"/>
      <c r="AB26" s="92"/>
      <c r="AC26" s="92"/>
      <c r="AD26" s="92"/>
      <c r="AE26" s="95"/>
      <c r="AF26" s="95"/>
      <c r="AG26" s="95"/>
      <c r="AH26" s="95"/>
      <c r="AI26" s="95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6"/>
      <c r="AU26" s="96"/>
      <c r="AV26" s="96"/>
      <c r="AW26" s="96"/>
      <c r="AX26" s="96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7"/>
      <c r="BJ26" s="97"/>
      <c r="BK26" s="97"/>
      <c r="BL26" s="97"/>
      <c r="BM26" s="97"/>
      <c r="BN26" s="92"/>
      <c r="BO26" s="92"/>
      <c r="BP26" s="92"/>
      <c r="BQ26" s="92"/>
      <c r="BR26" s="98"/>
      <c r="BS26" s="68"/>
    </row>
    <row r="27" ht="15.75" customHeight="1" outlineLevel="1">
      <c r="A27" s="68"/>
      <c r="B27" s="69">
        <v>1.3</v>
      </c>
      <c r="C27" s="70" t="s">
        <v>56</v>
      </c>
      <c r="D27" s="71"/>
      <c r="E27" s="72"/>
      <c r="F27" s="73" t="s">
        <v>39</v>
      </c>
      <c r="G27" s="75"/>
      <c r="H27" s="75"/>
      <c r="I27" s="76">
        <f t="shared" si="1"/>
        <v>0</v>
      </c>
      <c r="J27" s="77">
        <v>0.0</v>
      </c>
      <c r="K27" s="89"/>
      <c r="L27" s="90"/>
      <c r="M27" s="91"/>
      <c r="N27" s="91"/>
      <c r="O27" s="92"/>
      <c r="P27" s="94"/>
      <c r="Q27" s="94"/>
      <c r="R27" s="83"/>
      <c r="S27" s="83"/>
      <c r="T27" s="83"/>
      <c r="U27" s="84"/>
      <c r="V27" s="84"/>
      <c r="W27" s="84"/>
      <c r="X27" s="84"/>
      <c r="Y27" s="84"/>
      <c r="Z27" s="92"/>
      <c r="AA27" s="92"/>
      <c r="AB27" s="92"/>
      <c r="AC27" s="92"/>
      <c r="AD27" s="92"/>
      <c r="AE27" s="95"/>
      <c r="AF27" s="95"/>
      <c r="AG27" s="95"/>
      <c r="AH27" s="95"/>
      <c r="AI27" s="95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6"/>
      <c r="AU27" s="96"/>
      <c r="AV27" s="96"/>
      <c r="AW27" s="96"/>
      <c r="AX27" s="96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7"/>
      <c r="BJ27" s="97"/>
      <c r="BK27" s="97"/>
      <c r="BL27" s="97"/>
      <c r="BM27" s="97"/>
      <c r="BN27" s="92"/>
      <c r="BO27" s="92"/>
      <c r="BP27" s="92"/>
      <c r="BQ27" s="92"/>
      <c r="BR27" s="98"/>
      <c r="BS27" s="68"/>
    </row>
    <row r="28" ht="17.25" customHeight="1" outlineLevel="1">
      <c r="A28" s="68"/>
      <c r="B28" s="69" t="s">
        <v>57</v>
      </c>
      <c r="C28" s="73"/>
      <c r="D28" s="73"/>
      <c r="E28" s="72"/>
      <c r="F28" s="73" t="s">
        <v>39</v>
      </c>
      <c r="G28" s="75"/>
      <c r="H28" s="75"/>
      <c r="I28" s="76">
        <f t="shared" si="1"/>
        <v>0</v>
      </c>
      <c r="J28" s="77">
        <v>0.0</v>
      </c>
      <c r="K28" s="89"/>
      <c r="L28" s="90"/>
      <c r="M28" s="91"/>
      <c r="N28" s="91"/>
      <c r="O28" s="92"/>
      <c r="P28" s="93"/>
      <c r="Q28" s="94"/>
      <c r="R28" s="83"/>
      <c r="S28" s="83"/>
      <c r="T28" s="83"/>
      <c r="U28" s="84"/>
      <c r="V28" s="84"/>
      <c r="W28" s="84"/>
      <c r="X28" s="84"/>
      <c r="Y28" s="84"/>
      <c r="Z28" s="92"/>
      <c r="AA28" s="92"/>
      <c r="AB28" s="92"/>
      <c r="AC28" s="92"/>
      <c r="AD28" s="92"/>
      <c r="AE28" s="95"/>
      <c r="AF28" s="95"/>
      <c r="AG28" s="95"/>
      <c r="AH28" s="95"/>
      <c r="AI28" s="95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6"/>
      <c r="AU28" s="96"/>
      <c r="AV28" s="96"/>
      <c r="AW28" s="96"/>
      <c r="AX28" s="96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7"/>
      <c r="BJ28" s="97"/>
      <c r="BK28" s="97"/>
      <c r="BL28" s="97"/>
      <c r="BM28" s="97"/>
      <c r="BN28" s="92"/>
      <c r="BO28" s="92"/>
      <c r="BP28" s="92"/>
      <c r="BQ28" s="92"/>
      <c r="BR28" s="98"/>
      <c r="BS28" s="68"/>
    </row>
    <row r="29" ht="17.25" customHeight="1" outlineLevel="1">
      <c r="A29" s="68"/>
      <c r="B29" s="69" t="s">
        <v>58</v>
      </c>
      <c r="C29" s="73"/>
      <c r="D29" s="71"/>
      <c r="E29" s="72"/>
      <c r="F29" s="73" t="s">
        <v>39</v>
      </c>
      <c r="G29" s="75"/>
      <c r="H29" s="75"/>
      <c r="I29" s="76">
        <f t="shared" si="1"/>
        <v>0</v>
      </c>
      <c r="J29" s="77">
        <v>0.0</v>
      </c>
      <c r="K29" s="89"/>
      <c r="L29" s="90"/>
      <c r="M29" s="91"/>
      <c r="N29" s="91"/>
      <c r="O29" s="92"/>
      <c r="P29" s="94"/>
      <c r="Q29" s="94"/>
      <c r="R29" s="83"/>
      <c r="S29" s="83"/>
      <c r="T29" s="83"/>
      <c r="U29" s="84"/>
      <c r="V29" s="84"/>
      <c r="W29" s="84"/>
      <c r="X29" s="84"/>
      <c r="Y29" s="84"/>
      <c r="Z29" s="92"/>
      <c r="AA29" s="92"/>
      <c r="AB29" s="92"/>
      <c r="AC29" s="92"/>
      <c r="AD29" s="92"/>
      <c r="AE29" s="95"/>
      <c r="AF29" s="95"/>
      <c r="AG29" s="95"/>
      <c r="AH29" s="95"/>
      <c r="AI29" s="95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6"/>
      <c r="AU29" s="96"/>
      <c r="AV29" s="96"/>
      <c r="AW29" s="96"/>
      <c r="AX29" s="96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7"/>
      <c r="BJ29" s="97"/>
      <c r="BK29" s="97"/>
      <c r="BL29" s="97"/>
      <c r="BM29" s="97"/>
      <c r="BN29" s="92"/>
      <c r="BO29" s="92"/>
      <c r="BP29" s="92"/>
      <c r="BQ29" s="92"/>
      <c r="BR29" s="98"/>
      <c r="BS29" s="68"/>
    </row>
    <row r="30" ht="17.25" customHeight="1" outlineLevel="1">
      <c r="A30" s="68"/>
      <c r="B30" s="69" t="s">
        <v>59</v>
      </c>
      <c r="C30" s="73"/>
      <c r="D30" s="73"/>
      <c r="E30" s="72"/>
      <c r="F30" s="73" t="s">
        <v>39</v>
      </c>
      <c r="G30" s="75"/>
      <c r="H30" s="75"/>
      <c r="I30" s="76">
        <f t="shared" si="1"/>
        <v>0</v>
      </c>
      <c r="J30" s="77">
        <v>0.0</v>
      </c>
      <c r="K30" s="89"/>
      <c r="L30" s="90"/>
      <c r="M30" s="91"/>
      <c r="N30" s="91"/>
      <c r="O30" s="92"/>
      <c r="P30" s="94"/>
      <c r="Q30" s="94"/>
      <c r="R30" s="83"/>
      <c r="S30" s="83"/>
      <c r="T30" s="83"/>
      <c r="U30" s="84"/>
      <c r="V30" s="84"/>
      <c r="W30" s="84"/>
      <c r="X30" s="84"/>
      <c r="Y30" s="84"/>
      <c r="Z30" s="92"/>
      <c r="AA30" s="92"/>
      <c r="AB30" s="92"/>
      <c r="AC30" s="92"/>
      <c r="AD30" s="92"/>
      <c r="AE30" s="95"/>
      <c r="AF30" s="95"/>
      <c r="AG30" s="95"/>
      <c r="AH30" s="95"/>
      <c r="AI30" s="95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6"/>
      <c r="AU30" s="96"/>
      <c r="AV30" s="96"/>
      <c r="AW30" s="96"/>
      <c r="AX30" s="96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7"/>
      <c r="BJ30" s="97"/>
      <c r="BK30" s="97"/>
      <c r="BL30" s="97"/>
      <c r="BM30" s="97"/>
      <c r="BN30" s="92"/>
      <c r="BO30" s="92"/>
      <c r="BP30" s="92"/>
      <c r="BQ30" s="92"/>
      <c r="BR30" s="98"/>
      <c r="BS30" s="68"/>
    </row>
    <row r="31" ht="17.25" customHeight="1" outlineLevel="1">
      <c r="A31" s="68"/>
      <c r="B31" s="69" t="s">
        <v>60</v>
      </c>
      <c r="C31" s="73"/>
      <c r="D31" s="73"/>
      <c r="E31" s="72"/>
      <c r="F31" s="73" t="s">
        <v>39</v>
      </c>
      <c r="G31" s="75"/>
      <c r="H31" s="75"/>
      <c r="I31" s="76">
        <f t="shared" si="1"/>
        <v>0</v>
      </c>
      <c r="J31" s="77">
        <v>0.0</v>
      </c>
      <c r="K31" s="89"/>
      <c r="L31" s="90"/>
      <c r="M31" s="92"/>
      <c r="N31" s="92"/>
      <c r="O31" s="92"/>
      <c r="P31" s="94"/>
      <c r="Q31" s="94"/>
      <c r="R31" s="83"/>
      <c r="S31" s="83"/>
      <c r="T31" s="83"/>
      <c r="U31" s="84"/>
      <c r="V31" s="84"/>
      <c r="W31" s="84"/>
      <c r="X31" s="84"/>
      <c r="Y31" s="84"/>
      <c r="Z31" s="92"/>
      <c r="AA31" s="92"/>
      <c r="AB31" s="92"/>
      <c r="AC31" s="92"/>
      <c r="AD31" s="92"/>
      <c r="AE31" s="95"/>
      <c r="AF31" s="95"/>
      <c r="AG31" s="95"/>
      <c r="AH31" s="95"/>
      <c r="AI31" s="95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6"/>
      <c r="AU31" s="96"/>
      <c r="AV31" s="96"/>
      <c r="AW31" s="96"/>
      <c r="AX31" s="96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7"/>
      <c r="BJ31" s="97"/>
      <c r="BK31" s="97"/>
      <c r="BL31" s="97"/>
      <c r="BM31" s="97"/>
      <c r="BN31" s="92"/>
      <c r="BO31" s="92"/>
      <c r="BP31" s="92"/>
      <c r="BQ31" s="92"/>
      <c r="BR31" s="98"/>
      <c r="BS31" s="68"/>
    </row>
    <row r="32" ht="17.25" customHeight="1" outlineLevel="1">
      <c r="A32" s="68"/>
      <c r="B32" s="69" t="s">
        <v>61</v>
      </c>
      <c r="C32" s="99"/>
      <c r="D32" s="99"/>
      <c r="E32" s="100"/>
      <c r="F32" s="73" t="s">
        <v>39</v>
      </c>
      <c r="G32" s="101"/>
      <c r="H32" s="101"/>
      <c r="I32" s="76">
        <f t="shared" si="1"/>
        <v>0</v>
      </c>
      <c r="J32" s="77">
        <v>0.0</v>
      </c>
      <c r="K32" s="102"/>
      <c r="L32" s="103"/>
      <c r="M32" s="104"/>
      <c r="N32" s="104"/>
      <c r="O32" s="104"/>
      <c r="P32" s="105"/>
      <c r="Q32" s="105"/>
      <c r="R32" s="83"/>
      <c r="S32" s="83"/>
      <c r="T32" s="83"/>
      <c r="U32" s="84"/>
      <c r="V32" s="84"/>
      <c r="W32" s="84"/>
      <c r="X32" s="84"/>
      <c r="Y32" s="84"/>
      <c r="Z32" s="104"/>
      <c r="AA32" s="104"/>
      <c r="AB32" s="104"/>
      <c r="AC32" s="104"/>
      <c r="AD32" s="104"/>
      <c r="AE32" s="106"/>
      <c r="AF32" s="106"/>
      <c r="AG32" s="106"/>
      <c r="AH32" s="106"/>
      <c r="AI32" s="106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7"/>
      <c r="AU32" s="107"/>
      <c r="AV32" s="107"/>
      <c r="AW32" s="107"/>
      <c r="AX32" s="107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8"/>
      <c r="BJ32" s="108"/>
      <c r="BK32" s="108"/>
      <c r="BL32" s="108"/>
      <c r="BM32" s="108"/>
      <c r="BN32" s="104"/>
      <c r="BO32" s="104"/>
      <c r="BP32" s="104"/>
      <c r="BQ32" s="104"/>
      <c r="BR32" s="109"/>
      <c r="BS32" s="68"/>
    </row>
    <row r="33" ht="21.0" customHeight="1">
      <c r="A33" s="36"/>
      <c r="B33" s="60">
        <v>2.0</v>
      </c>
      <c r="C33" s="61"/>
      <c r="D33" s="61" t="s">
        <v>62</v>
      </c>
      <c r="E33" s="62"/>
      <c r="F33" s="63"/>
      <c r="G33" s="63"/>
      <c r="H33" s="63"/>
      <c r="I33" s="63"/>
      <c r="J33" s="63"/>
      <c r="K33" s="64"/>
      <c r="L33" s="65"/>
      <c r="M33" s="66"/>
      <c r="N33" s="66"/>
      <c r="O33" s="67"/>
      <c r="P33" s="64"/>
      <c r="Q33" s="67"/>
      <c r="R33" s="64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36"/>
    </row>
    <row r="34" ht="17.25" customHeight="1" outlineLevel="1">
      <c r="A34" s="68"/>
      <c r="B34" s="69">
        <v>2.1</v>
      </c>
      <c r="C34" s="70" t="s">
        <v>63</v>
      </c>
      <c r="D34" s="71"/>
      <c r="E34" s="72"/>
      <c r="F34" s="73" t="s">
        <v>39</v>
      </c>
      <c r="G34" s="75">
        <v>45876.0</v>
      </c>
      <c r="H34" s="75">
        <v>45877.0</v>
      </c>
      <c r="I34" s="76">
        <f>DAYS360(G34,H34)</f>
        <v>1</v>
      </c>
      <c r="J34" s="77">
        <v>1.0</v>
      </c>
      <c r="K34" s="78"/>
      <c r="L34" s="79"/>
      <c r="M34" s="80"/>
      <c r="N34" s="80"/>
      <c r="O34" s="80"/>
      <c r="P34" s="83"/>
      <c r="Q34" s="83"/>
      <c r="R34" s="83"/>
      <c r="S34" s="83"/>
      <c r="T34" s="83"/>
      <c r="U34" s="84"/>
      <c r="V34" s="84"/>
      <c r="W34" s="84"/>
      <c r="X34" s="84"/>
      <c r="Y34" s="84"/>
      <c r="Z34" s="110"/>
      <c r="AA34" s="110"/>
      <c r="AB34" s="110"/>
      <c r="AC34" s="110"/>
      <c r="AD34" s="84"/>
      <c r="AE34" s="85"/>
      <c r="AF34" s="85"/>
      <c r="AG34" s="85"/>
      <c r="AH34" s="85"/>
      <c r="AI34" s="85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6"/>
      <c r="AU34" s="86"/>
      <c r="AV34" s="86"/>
      <c r="AW34" s="86"/>
      <c r="AX34" s="86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7"/>
      <c r="BJ34" s="87"/>
      <c r="BK34" s="87"/>
      <c r="BL34" s="87"/>
      <c r="BM34" s="87"/>
      <c r="BN34" s="84"/>
      <c r="BO34" s="84"/>
      <c r="BP34" s="84"/>
      <c r="BQ34" s="84"/>
      <c r="BR34" s="88"/>
      <c r="BS34" s="68"/>
    </row>
    <row r="35" ht="17.25" customHeight="1" outlineLevel="1">
      <c r="A35" s="68"/>
      <c r="B35" s="69">
        <v>2.2</v>
      </c>
      <c r="C35" s="70" t="s">
        <v>64</v>
      </c>
      <c r="D35" s="71"/>
      <c r="E35" s="72"/>
      <c r="F35" s="73" t="s">
        <v>39</v>
      </c>
      <c r="G35" s="75"/>
      <c r="H35" s="75"/>
      <c r="I35" s="76">
        <v>3.0</v>
      </c>
      <c r="J35" s="77">
        <v>0.0</v>
      </c>
      <c r="K35" s="89"/>
      <c r="L35" s="90"/>
      <c r="M35" s="91"/>
      <c r="N35" s="91"/>
      <c r="O35" s="92"/>
      <c r="P35" s="93"/>
      <c r="Q35" s="94"/>
      <c r="R35" s="94"/>
      <c r="S35" s="94"/>
      <c r="T35" s="94"/>
      <c r="U35" s="92"/>
      <c r="V35" s="92"/>
      <c r="W35" s="92"/>
      <c r="X35" s="92"/>
      <c r="Y35" s="92"/>
      <c r="Z35" s="92"/>
      <c r="AA35" s="92"/>
      <c r="AB35" s="92"/>
      <c r="AC35" s="92"/>
      <c r="AD35" s="110"/>
      <c r="AE35" s="110"/>
      <c r="AF35" s="110"/>
      <c r="AG35" s="110"/>
      <c r="AH35" s="110"/>
      <c r="AI35" s="110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6"/>
      <c r="AU35" s="96"/>
      <c r="AV35" s="96"/>
      <c r="AW35" s="96"/>
      <c r="AX35" s="96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7"/>
      <c r="BJ35" s="97"/>
      <c r="BK35" s="97"/>
      <c r="BL35" s="97"/>
      <c r="BM35" s="97"/>
      <c r="BN35" s="92"/>
      <c r="BO35" s="92"/>
      <c r="BP35" s="92"/>
      <c r="BQ35" s="92"/>
      <c r="BR35" s="98"/>
      <c r="BS35" s="68"/>
    </row>
    <row r="36" ht="17.25" customHeight="1" outlineLevel="1">
      <c r="A36" s="68"/>
      <c r="B36" s="69">
        <v>2.3</v>
      </c>
      <c r="C36" s="70" t="s">
        <v>65</v>
      </c>
      <c r="D36" s="71"/>
      <c r="E36" s="72"/>
      <c r="F36" s="73"/>
      <c r="G36" s="75"/>
      <c r="H36" s="75"/>
      <c r="I36" s="76"/>
      <c r="J36" s="111"/>
      <c r="K36" s="89"/>
      <c r="L36" s="90"/>
      <c r="M36" s="91"/>
      <c r="N36" s="91"/>
      <c r="O36" s="92"/>
      <c r="P36" s="94"/>
      <c r="Q36" s="94"/>
      <c r="R36" s="94"/>
      <c r="S36" s="94"/>
      <c r="T36" s="94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5"/>
      <c r="AF36" s="95"/>
      <c r="AG36" s="95"/>
      <c r="AH36" s="95"/>
      <c r="AI36" s="95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6"/>
      <c r="AU36" s="96"/>
      <c r="AV36" s="96"/>
      <c r="AW36" s="96"/>
      <c r="AX36" s="96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7"/>
      <c r="BJ36" s="97"/>
      <c r="BK36" s="97"/>
      <c r="BL36" s="97"/>
      <c r="BM36" s="97"/>
      <c r="BN36" s="92"/>
      <c r="BO36" s="92"/>
      <c r="BP36" s="92"/>
      <c r="BQ36" s="92"/>
      <c r="BR36" s="98"/>
      <c r="BS36" s="68"/>
    </row>
    <row r="37" ht="17.25" customHeight="1" outlineLevel="1">
      <c r="A37" s="68"/>
      <c r="B37" s="69">
        <v>2.4</v>
      </c>
      <c r="C37" s="70" t="s">
        <v>66</v>
      </c>
      <c r="D37" s="71"/>
      <c r="E37" s="72"/>
      <c r="F37" s="73"/>
      <c r="G37" s="75"/>
      <c r="H37" s="75"/>
      <c r="I37" s="76">
        <v>0.0</v>
      </c>
      <c r="J37" s="111">
        <v>0.0</v>
      </c>
      <c r="K37" s="89"/>
      <c r="L37" s="90"/>
      <c r="M37" s="91"/>
      <c r="N37" s="91"/>
      <c r="O37" s="92"/>
      <c r="P37" s="94"/>
      <c r="Q37" s="94"/>
      <c r="R37" s="94"/>
      <c r="S37" s="94"/>
      <c r="T37" s="94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5"/>
      <c r="AF37" s="95"/>
      <c r="AG37" s="95"/>
      <c r="AH37" s="95"/>
      <c r="AI37" s="95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6"/>
      <c r="AU37" s="96"/>
      <c r="AV37" s="96"/>
      <c r="AW37" s="96"/>
      <c r="AX37" s="96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7"/>
      <c r="BJ37" s="97"/>
      <c r="BK37" s="97"/>
      <c r="BL37" s="97"/>
      <c r="BM37" s="97"/>
      <c r="BN37" s="92"/>
      <c r="BO37" s="92"/>
      <c r="BP37" s="92"/>
      <c r="BQ37" s="92"/>
      <c r="BR37" s="98"/>
      <c r="BS37" s="68"/>
    </row>
    <row r="38" ht="17.25" customHeight="1" outlineLevel="1">
      <c r="A38" s="68"/>
      <c r="B38" s="69">
        <v>2.5</v>
      </c>
      <c r="C38" s="70" t="s">
        <v>67</v>
      </c>
      <c r="D38" s="71"/>
      <c r="E38" s="72"/>
      <c r="F38" s="73"/>
      <c r="G38" s="75"/>
      <c r="H38" s="75"/>
      <c r="I38" s="76"/>
      <c r="J38" s="77"/>
      <c r="K38" s="89"/>
      <c r="L38" s="90"/>
      <c r="M38" s="91"/>
      <c r="N38" s="91"/>
      <c r="O38" s="92"/>
      <c r="P38" s="94"/>
      <c r="Q38" s="94"/>
      <c r="R38" s="94"/>
      <c r="S38" s="94"/>
      <c r="T38" s="94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5"/>
      <c r="AF38" s="95"/>
      <c r="AG38" s="95"/>
      <c r="AH38" s="95"/>
      <c r="AI38" s="95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6"/>
      <c r="AU38" s="96"/>
      <c r="AV38" s="96"/>
      <c r="AW38" s="96"/>
      <c r="AX38" s="96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7"/>
      <c r="BJ38" s="97"/>
      <c r="BK38" s="97"/>
      <c r="BL38" s="97"/>
      <c r="BM38" s="97"/>
      <c r="BN38" s="92"/>
      <c r="BO38" s="92"/>
      <c r="BP38" s="92"/>
      <c r="BQ38" s="92"/>
      <c r="BR38" s="98"/>
      <c r="BS38" s="68"/>
    </row>
    <row r="39" ht="17.25" customHeight="1" outlineLevel="1">
      <c r="A39" s="68"/>
      <c r="B39" s="69">
        <v>2.6</v>
      </c>
      <c r="C39" s="70" t="s">
        <v>68</v>
      </c>
      <c r="D39" s="71"/>
      <c r="E39" s="72"/>
      <c r="F39" s="73"/>
      <c r="G39" s="75"/>
      <c r="H39" s="75"/>
      <c r="I39" s="76"/>
      <c r="J39" s="77"/>
      <c r="K39" s="89"/>
      <c r="L39" s="90"/>
      <c r="M39" s="91"/>
      <c r="N39" s="91"/>
      <c r="O39" s="92"/>
      <c r="P39" s="94"/>
      <c r="Q39" s="94"/>
      <c r="R39" s="94"/>
      <c r="S39" s="94"/>
      <c r="T39" s="94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5"/>
      <c r="AF39" s="95"/>
      <c r="AG39" s="95"/>
      <c r="AH39" s="95"/>
      <c r="AI39" s="95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6"/>
      <c r="AU39" s="96"/>
      <c r="AV39" s="96"/>
      <c r="AW39" s="96"/>
      <c r="AX39" s="96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7"/>
      <c r="BJ39" s="97"/>
      <c r="BK39" s="97"/>
      <c r="BL39" s="97"/>
      <c r="BM39" s="97"/>
      <c r="BN39" s="92"/>
      <c r="BO39" s="92"/>
      <c r="BP39" s="92"/>
      <c r="BQ39" s="92"/>
      <c r="BR39" s="98"/>
      <c r="BS39" s="68"/>
    </row>
    <row r="40" ht="17.25" customHeight="1" outlineLevel="1">
      <c r="A40" s="68"/>
      <c r="B40" s="69">
        <v>2.7</v>
      </c>
      <c r="C40" s="70" t="s">
        <v>69</v>
      </c>
      <c r="D40" s="71"/>
      <c r="E40" s="72"/>
      <c r="F40" s="73"/>
      <c r="G40" s="75"/>
      <c r="H40" s="75"/>
      <c r="I40" s="76"/>
      <c r="J40" s="77"/>
      <c r="K40" s="89"/>
      <c r="L40" s="90"/>
      <c r="M40" s="91"/>
      <c r="N40" s="91"/>
      <c r="O40" s="92"/>
      <c r="P40" s="94"/>
      <c r="Q40" s="94"/>
      <c r="R40" s="94"/>
      <c r="S40" s="94"/>
      <c r="T40" s="94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5"/>
      <c r="AF40" s="95"/>
      <c r="AG40" s="95"/>
      <c r="AH40" s="95"/>
      <c r="AI40" s="95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6"/>
      <c r="AU40" s="96"/>
      <c r="AV40" s="96"/>
      <c r="AW40" s="96"/>
      <c r="AX40" s="96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7"/>
      <c r="BJ40" s="97"/>
      <c r="BK40" s="97"/>
      <c r="BL40" s="97"/>
      <c r="BM40" s="97"/>
      <c r="BN40" s="92"/>
      <c r="BO40" s="92"/>
      <c r="BP40" s="92"/>
      <c r="BQ40" s="92"/>
      <c r="BR40" s="98"/>
      <c r="BS40" s="68"/>
    </row>
    <row r="41" ht="17.25" customHeight="1" outlineLevel="1">
      <c r="A41" s="68"/>
      <c r="B41" s="69">
        <v>2.8</v>
      </c>
      <c r="C41" s="70"/>
      <c r="D41" s="71"/>
      <c r="E41" s="72"/>
      <c r="F41" s="73" t="s">
        <v>39</v>
      </c>
      <c r="G41" s="75"/>
      <c r="H41" s="75"/>
      <c r="I41" s="76">
        <v>0.0</v>
      </c>
      <c r="J41" s="77">
        <v>0.0</v>
      </c>
      <c r="K41" s="89"/>
      <c r="L41" s="90"/>
      <c r="M41" s="91"/>
      <c r="N41" s="91"/>
      <c r="O41" s="92"/>
      <c r="P41" s="94"/>
      <c r="Q41" s="94"/>
      <c r="R41" s="94"/>
      <c r="S41" s="94"/>
      <c r="T41" s="94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5"/>
      <c r="AF41" s="95"/>
      <c r="AG41" s="95"/>
      <c r="AH41" s="95"/>
      <c r="AI41" s="95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6"/>
      <c r="AU41" s="96"/>
      <c r="AV41" s="96"/>
      <c r="AW41" s="96"/>
      <c r="AX41" s="96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7"/>
      <c r="BJ41" s="97"/>
      <c r="BK41" s="97"/>
      <c r="BL41" s="97"/>
      <c r="BM41" s="97"/>
      <c r="BN41" s="92"/>
      <c r="BO41" s="92"/>
      <c r="BP41" s="92"/>
      <c r="BQ41" s="92"/>
      <c r="BR41" s="98"/>
      <c r="BS41" s="68"/>
    </row>
    <row r="42" ht="21.0" customHeight="1">
      <c r="A42" s="36"/>
      <c r="B42" s="60">
        <v>3.0</v>
      </c>
      <c r="C42" s="61"/>
      <c r="D42" s="61" t="s">
        <v>62</v>
      </c>
      <c r="E42" s="62"/>
      <c r="F42" s="63"/>
      <c r="G42" s="63"/>
      <c r="H42" s="63"/>
      <c r="I42" s="63"/>
      <c r="J42" s="63"/>
      <c r="K42" s="64"/>
      <c r="L42" s="65"/>
      <c r="M42" s="66"/>
      <c r="N42" s="66"/>
      <c r="O42" s="67"/>
      <c r="P42" s="64"/>
      <c r="Q42" s="67"/>
      <c r="R42" s="64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36"/>
    </row>
    <row r="43" ht="17.25" customHeight="1" outlineLevel="1">
      <c r="A43" s="68"/>
      <c r="B43" s="69">
        <v>3.1</v>
      </c>
      <c r="C43" s="70" t="s">
        <v>70</v>
      </c>
      <c r="D43" s="71"/>
      <c r="E43" s="72">
        <v>29.0</v>
      </c>
      <c r="F43" s="73" t="s">
        <v>39</v>
      </c>
      <c r="G43" s="75">
        <v>45876.0</v>
      </c>
      <c r="H43" s="75">
        <v>45877.0</v>
      </c>
      <c r="I43" s="76">
        <f>DAYS360(G43,H43)</f>
        <v>1</v>
      </c>
      <c r="J43" s="77">
        <v>1.0</v>
      </c>
      <c r="K43" s="78"/>
      <c r="L43" s="79"/>
      <c r="M43" s="80"/>
      <c r="N43" s="80"/>
      <c r="O43" s="80"/>
      <c r="P43" s="83"/>
      <c r="Q43" s="83"/>
      <c r="R43" s="83"/>
      <c r="S43" s="83"/>
      <c r="T43" s="83"/>
      <c r="U43" s="84"/>
      <c r="V43" s="84"/>
      <c r="W43" s="84"/>
      <c r="X43" s="84"/>
      <c r="Y43" s="84"/>
      <c r="Z43" s="110"/>
      <c r="AA43" s="110"/>
      <c r="AB43" s="110"/>
      <c r="AC43" s="110"/>
      <c r="AD43" s="84"/>
      <c r="AE43" s="85"/>
      <c r="AF43" s="85"/>
      <c r="AG43" s="85"/>
      <c r="AH43" s="85"/>
      <c r="AI43" s="85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6"/>
      <c r="AU43" s="86"/>
      <c r="AV43" s="86"/>
      <c r="AW43" s="86"/>
      <c r="AX43" s="86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7"/>
      <c r="BJ43" s="87"/>
      <c r="BK43" s="87"/>
      <c r="BL43" s="87"/>
      <c r="BM43" s="87"/>
      <c r="BN43" s="84"/>
      <c r="BO43" s="84"/>
      <c r="BP43" s="84"/>
      <c r="BQ43" s="84"/>
      <c r="BR43" s="88"/>
      <c r="BS43" s="68"/>
    </row>
    <row r="44" ht="17.25" customHeight="1" outlineLevel="1">
      <c r="A44" s="68"/>
      <c r="B44" s="69">
        <v>3.1</v>
      </c>
      <c r="C44" s="70" t="s">
        <v>71</v>
      </c>
      <c r="D44" s="71"/>
      <c r="E44" s="72">
        <v>20.0</v>
      </c>
      <c r="F44" s="73" t="s">
        <v>39</v>
      </c>
      <c r="G44" s="75"/>
      <c r="H44" s="75"/>
      <c r="I44" s="76">
        <v>3.0</v>
      </c>
      <c r="J44" s="77">
        <v>0.0</v>
      </c>
      <c r="K44" s="89"/>
      <c r="L44" s="90"/>
      <c r="M44" s="91"/>
      <c r="N44" s="91"/>
      <c r="O44" s="92"/>
      <c r="P44" s="93"/>
      <c r="Q44" s="94"/>
      <c r="R44" s="94"/>
      <c r="S44" s="94"/>
      <c r="T44" s="94"/>
      <c r="U44" s="92"/>
      <c r="V44" s="92"/>
      <c r="W44" s="92"/>
      <c r="X44" s="92"/>
      <c r="Y44" s="92"/>
      <c r="Z44" s="92"/>
      <c r="AA44" s="92"/>
      <c r="AB44" s="92"/>
      <c r="AC44" s="92"/>
      <c r="AD44" s="110"/>
      <c r="AE44" s="110"/>
      <c r="AF44" s="110"/>
      <c r="AG44" s="110"/>
      <c r="AH44" s="110"/>
      <c r="AI44" s="110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6"/>
      <c r="AU44" s="96"/>
      <c r="AV44" s="96"/>
      <c r="AW44" s="96"/>
      <c r="AX44" s="96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7"/>
      <c r="BJ44" s="97"/>
      <c r="BK44" s="97"/>
      <c r="BL44" s="97"/>
      <c r="BM44" s="97"/>
      <c r="BN44" s="92"/>
      <c r="BO44" s="92"/>
      <c r="BP44" s="92"/>
      <c r="BQ44" s="92"/>
      <c r="BR44" s="98"/>
      <c r="BS44" s="68"/>
    </row>
    <row r="45" ht="17.25" customHeight="1" outlineLevel="1">
      <c r="A45" s="68"/>
      <c r="B45" s="69">
        <v>3.1</v>
      </c>
      <c r="C45" s="70" t="s">
        <v>72</v>
      </c>
      <c r="D45" s="71"/>
      <c r="E45" s="72">
        <v>20.0</v>
      </c>
      <c r="F45" s="73" t="s">
        <v>39</v>
      </c>
      <c r="G45" s="75"/>
      <c r="H45" s="75"/>
      <c r="I45" s="76">
        <v>0.0</v>
      </c>
      <c r="J45" s="77">
        <v>0.0</v>
      </c>
      <c r="K45" s="89"/>
      <c r="L45" s="90"/>
      <c r="M45" s="91"/>
      <c r="N45" s="91"/>
      <c r="O45" s="92"/>
      <c r="P45" s="94"/>
      <c r="Q45" s="94"/>
      <c r="R45" s="94"/>
      <c r="S45" s="94"/>
      <c r="T45" s="94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5"/>
      <c r="AF45" s="95"/>
      <c r="AG45" s="95"/>
      <c r="AH45" s="95"/>
      <c r="AI45" s="95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6"/>
      <c r="AU45" s="96"/>
      <c r="AV45" s="96"/>
      <c r="AW45" s="96"/>
      <c r="AX45" s="96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7"/>
      <c r="BJ45" s="97"/>
      <c r="BK45" s="97"/>
      <c r="BL45" s="97"/>
      <c r="BM45" s="97"/>
      <c r="BN45" s="92"/>
      <c r="BO45" s="92"/>
      <c r="BP45" s="92"/>
      <c r="BQ45" s="92"/>
      <c r="BR45" s="98"/>
      <c r="BS45" s="68"/>
    </row>
    <row r="46" ht="17.25" customHeight="1" outlineLevel="1">
      <c r="A46" s="68"/>
      <c r="B46" s="69">
        <v>3.1</v>
      </c>
      <c r="C46" s="70" t="s">
        <v>73</v>
      </c>
      <c r="D46" s="71"/>
      <c r="E46" s="72"/>
      <c r="F46" s="73"/>
      <c r="G46" s="75"/>
      <c r="H46" s="75"/>
      <c r="I46" s="76">
        <v>0.0</v>
      </c>
      <c r="J46" s="111">
        <v>0.0</v>
      </c>
      <c r="K46" s="89"/>
      <c r="L46" s="90"/>
      <c r="M46" s="91"/>
      <c r="N46" s="91"/>
      <c r="O46" s="92"/>
      <c r="P46" s="94"/>
      <c r="Q46" s="94"/>
      <c r="R46" s="94"/>
      <c r="S46" s="94"/>
      <c r="T46" s="94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5"/>
      <c r="AF46" s="95"/>
      <c r="AG46" s="95"/>
      <c r="AH46" s="95"/>
      <c r="AI46" s="95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6"/>
      <c r="AU46" s="96"/>
      <c r="AV46" s="96"/>
      <c r="AW46" s="96"/>
      <c r="AX46" s="96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7"/>
      <c r="BJ46" s="97"/>
      <c r="BK46" s="97"/>
      <c r="BL46" s="97"/>
      <c r="BM46" s="97"/>
      <c r="BN46" s="92"/>
      <c r="BO46" s="92"/>
      <c r="BP46" s="92"/>
      <c r="BQ46" s="92"/>
      <c r="BR46" s="98"/>
      <c r="BS46" s="68"/>
    </row>
    <row r="47" ht="21.0" customHeight="1">
      <c r="A47" s="36"/>
      <c r="B47" s="60">
        <v>4.0</v>
      </c>
      <c r="C47" s="61"/>
      <c r="D47" s="61" t="s">
        <v>74</v>
      </c>
      <c r="E47" s="62"/>
      <c r="F47" s="63"/>
      <c r="G47" s="63"/>
      <c r="H47" s="63"/>
      <c r="I47" s="63"/>
      <c r="J47" s="63"/>
      <c r="K47" s="64"/>
      <c r="L47" s="65"/>
      <c r="M47" s="66"/>
      <c r="N47" s="66"/>
      <c r="O47" s="67"/>
      <c r="P47" s="64"/>
      <c r="Q47" s="67"/>
      <c r="R47" s="64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36"/>
    </row>
    <row r="48" ht="17.25" customHeight="1" outlineLevel="1">
      <c r="A48" s="68"/>
      <c r="B48" s="69">
        <v>3.1</v>
      </c>
      <c r="C48" s="70" t="s">
        <v>75</v>
      </c>
      <c r="D48" s="71"/>
      <c r="E48" s="72"/>
      <c r="F48" s="73" t="s">
        <v>39</v>
      </c>
      <c r="G48" s="75"/>
      <c r="H48" s="75"/>
      <c r="I48" s="76">
        <v>0.0</v>
      </c>
      <c r="J48" s="77">
        <v>0.0</v>
      </c>
      <c r="K48" s="78"/>
      <c r="L48" s="79"/>
      <c r="M48" s="80"/>
      <c r="N48" s="80"/>
      <c r="O48" s="80"/>
      <c r="P48" s="94"/>
      <c r="Q48" s="94"/>
      <c r="R48" s="94"/>
      <c r="S48" s="94"/>
      <c r="T48" s="9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5"/>
      <c r="AF48" s="85"/>
      <c r="AG48" s="85"/>
      <c r="AH48" s="85"/>
      <c r="AI48" s="85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6"/>
      <c r="AU48" s="86"/>
      <c r="AV48" s="86"/>
      <c r="AW48" s="86"/>
      <c r="AX48" s="86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7"/>
      <c r="BJ48" s="87"/>
      <c r="BK48" s="87"/>
      <c r="BL48" s="87"/>
      <c r="BM48" s="87"/>
      <c r="BN48" s="84"/>
      <c r="BO48" s="84"/>
      <c r="BP48" s="84"/>
      <c r="BQ48" s="84"/>
      <c r="BR48" s="88"/>
      <c r="BS48" s="68"/>
    </row>
    <row r="49" ht="17.25" customHeight="1" outlineLevel="1">
      <c r="A49" s="68"/>
      <c r="B49" s="69" t="s">
        <v>76</v>
      </c>
      <c r="C49" s="73"/>
      <c r="D49" s="73" t="s">
        <v>70</v>
      </c>
      <c r="E49" s="72"/>
      <c r="F49" s="73" t="s">
        <v>39</v>
      </c>
      <c r="G49" s="75"/>
      <c r="H49" s="75"/>
      <c r="I49" s="76">
        <v>0.0</v>
      </c>
      <c r="J49" s="77">
        <v>0.0</v>
      </c>
      <c r="K49" s="78"/>
      <c r="L49" s="79"/>
      <c r="M49" s="80"/>
      <c r="N49" s="80"/>
      <c r="O49" s="80"/>
      <c r="P49" s="94"/>
      <c r="Q49" s="94"/>
      <c r="R49" s="94"/>
      <c r="S49" s="94"/>
      <c r="T49" s="9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5"/>
      <c r="AF49" s="85"/>
      <c r="AG49" s="85"/>
      <c r="AH49" s="85"/>
      <c r="AI49" s="85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6"/>
      <c r="AU49" s="86"/>
      <c r="AV49" s="86"/>
      <c r="AW49" s="86"/>
      <c r="AX49" s="86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7"/>
      <c r="BJ49" s="87"/>
      <c r="BK49" s="87"/>
      <c r="BL49" s="87"/>
      <c r="BM49" s="87"/>
      <c r="BN49" s="84"/>
      <c r="BO49" s="84"/>
      <c r="BP49" s="84"/>
      <c r="BQ49" s="84"/>
      <c r="BR49" s="88"/>
      <c r="BS49" s="68"/>
    </row>
    <row r="50" ht="17.25" customHeight="1" outlineLevel="1">
      <c r="A50" s="68"/>
      <c r="B50" s="69" t="s">
        <v>77</v>
      </c>
      <c r="C50" s="73"/>
      <c r="D50" s="73" t="s">
        <v>71</v>
      </c>
      <c r="E50" s="72"/>
      <c r="F50" s="73" t="s">
        <v>39</v>
      </c>
      <c r="G50" s="75"/>
      <c r="H50" s="75"/>
      <c r="I50" s="76">
        <v>0.0</v>
      </c>
      <c r="J50" s="77">
        <v>0.0</v>
      </c>
      <c r="K50" s="89"/>
      <c r="L50" s="90"/>
      <c r="M50" s="91"/>
      <c r="N50" s="91"/>
      <c r="O50" s="92"/>
      <c r="P50" s="94"/>
      <c r="Q50" s="94"/>
      <c r="R50" s="94"/>
      <c r="S50" s="94"/>
      <c r="T50" s="94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5"/>
      <c r="AF50" s="95"/>
      <c r="AG50" s="95"/>
      <c r="AH50" s="95"/>
      <c r="AI50" s="95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6"/>
      <c r="AU50" s="96"/>
      <c r="AV50" s="96"/>
      <c r="AW50" s="96"/>
      <c r="AX50" s="96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7"/>
      <c r="BJ50" s="97"/>
      <c r="BK50" s="97"/>
      <c r="BL50" s="97"/>
      <c r="BM50" s="97"/>
      <c r="BN50" s="92"/>
      <c r="BO50" s="92"/>
      <c r="BP50" s="92"/>
      <c r="BQ50" s="92"/>
      <c r="BR50" s="98"/>
      <c r="BS50" s="68"/>
    </row>
    <row r="51" ht="18.0" customHeight="1" outlineLevel="1">
      <c r="A51" s="68"/>
      <c r="B51" s="69" t="s">
        <v>78</v>
      </c>
      <c r="C51" s="73"/>
      <c r="D51" s="73" t="s">
        <v>72</v>
      </c>
      <c r="E51" s="72"/>
      <c r="F51" s="73" t="s">
        <v>39</v>
      </c>
      <c r="G51" s="75"/>
      <c r="H51" s="75"/>
      <c r="I51" s="76">
        <v>0.0</v>
      </c>
      <c r="J51" s="77">
        <v>0.0</v>
      </c>
      <c r="K51" s="89"/>
      <c r="L51" s="90"/>
      <c r="M51" s="91"/>
      <c r="N51" s="91"/>
      <c r="O51" s="92"/>
      <c r="P51" s="94"/>
      <c r="Q51" s="94"/>
      <c r="R51" s="94"/>
      <c r="S51" s="94"/>
      <c r="T51" s="94"/>
      <c r="U51" s="80"/>
      <c r="V51" s="80"/>
      <c r="W51" s="80"/>
      <c r="X51" s="80"/>
      <c r="Y51" s="92"/>
      <c r="Z51" s="92"/>
      <c r="AA51" s="92"/>
      <c r="AB51" s="92"/>
      <c r="AC51" s="92"/>
      <c r="AD51" s="92"/>
      <c r="AE51" s="95"/>
      <c r="AF51" s="95"/>
      <c r="AG51" s="95"/>
      <c r="AH51" s="95"/>
      <c r="AI51" s="95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6"/>
      <c r="AU51" s="96"/>
      <c r="AV51" s="96"/>
      <c r="AW51" s="96"/>
      <c r="AX51" s="96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7"/>
      <c r="BJ51" s="97"/>
      <c r="BK51" s="97"/>
      <c r="BL51" s="97"/>
      <c r="BM51" s="97"/>
      <c r="BN51" s="92"/>
      <c r="BO51" s="92"/>
      <c r="BP51" s="92"/>
      <c r="BQ51" s="92"/>
      <c r="BR51" s="98"/>
      <c r="BS51" s="68"/>
    </row>
    <row r="52" ht="17.25" customHeight="1" outlineLevel="1">
      <c r="A52" s="68"/>
      <c r="B52" s="69">
        <v>3.3</v>
      </c>
      <c r="C52" s="70" t="s">
        <v>38</v>
      </c>
      <c r="D52" s="71"/>
      <c r="E52" s="72"/>
      <c r="F52" s="73" t="s">
        <v>39</v>
      </c>
      <c r="G52" s="75"/>
      <c r="H52" s="75"/>
      <c r="I52" s="76">
        <v>0.0</v>
      </c>
      <c r="J52" s="77">
        <v>0.0</v>
      </c>
      <c r="K52" s="89"/>
      <c r="L52" s="90"/>
      <c r="M52" s="91"/>
      <c r="N52" s="91"/>
      <c r="O52" s="92"/>
      <c r="P52" s="94"/>
      <c r="Q52" s="94"/>
      <c r="R52" s="94"/>
      <c r="S52" s="94"/>
      <c r="T52" s="94"/>
      <c r="U52" s="80"/>
      <c r="V52" s="80"/>
      <c r="W52" s="80"/>
      <c r="X52" s="80"/>
      <c r="Y52" s="92"/>
      <c r="Z52" s="92"/>
      <c r="AA52" s="92"/>
      <c r="AB52" s="92"/>
      <c r="AC52" s="92"/>
      <c r="AD52" s="92"/>
      <c r="AE52" s="95"/>
      <c r="AF52" s="95"/>
      <c r="AG52" s="95"/>
      <c r="AH52" s="95"/>
      <c r="AI52" s="95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6"/>
      <c r="AU52" s="96"/>
      <c r="AV52" s="96"/>
      <c r="AW52" s="96"/>
      <c r="AX52" s="96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7"/>
      <c r="BJ52" s="97"/>
      <c r="BK52" s="97"/>
      <c r="BL52" s="97"/>
      <c r="BM52" s="97"/>
      <c r="BN52" s="92"/>
      <c r="BO52" s="92"/>
      <c r="BP52" s="92"/>
      <c r="BQ52" s="92"/>
      <c r="BR52" s="98"/>
      <c r="BS52" s="68"/>
    </row>
    <row r="53" ht="17.25" customHeight="1" outlineLevel="1">
      <c r="A53" s="68"/>
      <c r="B53" s="69" t="s">
        <v>79</v>
      </c>
      <c r="C53" s="70"/>
      <c r="D53" s="70"/>
      <c r="E53" s="72"/>
      <c r="F53" s="73" t="s">
        <v>39</v>
      </c>
      <c r="G53" s="75"/>
      <c r="H53" s="75"/>
      <c r="I53" s="76"/>
      <c r="J53" s="77"/>
      <c r="K53" s="89"/>
      <c r="L53" s="90"/>
      <c r="M53" s="91"/>
      <c r="N53" s="91"/>
      <c r="O53" s="92"/>
      <c r="P53" s="94"/>
      <c r="Q53" s="94"/>
      <c r="R53" s="94"/>
      <c r="S53" s="94"/>
      <c r="T53" s="94"/>
      <c r="U53" s="80"/>
      <c r="V53" s="80"/>
      <c r="W53" s="80"/>
      <c r="X53" s="80"/>
      <c r="Y53" s="92"/>
      <c r="Z53" s="92"/>
      <c r="AA53" s="92"/>
      <c r="AB53" s="92"/>
      <c r="AC53" s="92"/>
      <c r="AD53" s="92"/>
      <c r="AE53" s="95"/>
      <c r="AF53" s="95"/>
      <c r="AG53" s="95"/>
      <c r="AH53" s="95"/>
      <c r="AI53" s="95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6"/>
      <c r="AU53" s="96"/>
      <c r="AV53" s="96"/>
      <c r="AW53" s="96"/>
      <c r="AX53" s="96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7"/>
      <c r="BJ53" s="97"/>
      <c r="BK53" s="97"/>
      <c r="BL53" s="97"/>
      <c r="BM53" s="97"/>
      <c r="BN53" s="92"/>
      <c r="BO53" s="92"/>
      <c r="BP53" s="92"/>
      <c r="BQ53" s="92"/>
      <c r="BR53" s="98"/>
      <c r="BS53" s="68"/>
    </row>
    <row r="54" ht="17.25" customHeight="1" outlineLevel="1">
      <c r="A54" s="68"/>
      <c r="B54" s="69" t="s">
        <v>80</v>
      </c>
      <c r="C54" s="73"/>
      <c r="D54" s="73" t="s">
        <v>81</v>
      </c>
      <c r="E54" s="72"/>
      <c r="F54" s="73" t="s">
        <v>39</v>
      </c>
      <c r="G54" s="75"/>
      <c r="H54" s="75"/>
      <c r="I54" s="76"/>
      <c r="J54" s="77"/>
      <c r="K54" s="89"/>
      <c r="L54" s="90"/>
      <c r="M54" s="92"/>
      <c r="N54" s="92"/>
      <c r="O54" s="92"/>
      <c r="P54" s="94"/>
      <c r="Q54" s="94"/>
      <c r="R54" s="94"/>
      <c r="S54" s="94"/>
      <c r="T54" s="94"/>
      <c r="U54" s="80"/>
      <c r="V54" s="80"/>
      <c r="W54" s="80"/>
      <c r="X54" s="80"/>
      <c r="Y54" s="92"/>
      <c r="Z54" s="92"/>
      <c r="AA54" s="92"/>
      <c r="AB54" s="92"/>
      <c r="AC54" s="92"/>
      <c r="AD54" s="92"/>
      <c r="AE54" s="95"/>
      <c r="AF54" s="95"/>
      <c r="AG54" s="95"/>
      <c r="AH54" s="95"/>
      <c r="AI54" s="95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6"/>
      <c r="AU54" s="96"/>
      <c r="AV54" s="96"/>
      <c r="AW54" s="96"/>
      <c r="AX54" s="96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7"/>
      <c r="BJ54" s="97"/>
      <c r="BK54" s="97"/>
      <c r="BL54" s="97"/>
      <c r="BM54" s="97"/>
      <c r="BN54" s="92"/>
      <c r="BO54" s="92"/>
      <c r="BP54" s="92"/>
      <c r="BQ54" s="92"/>
      <c r="BR54" s="98"/>
      <c r="BS54" s="68"/>
    </row>
    <row r="55" ht="17.25" customHeight="1" outlineLevel="1">
      <c r="A55" s="68"/>
      <c r="B55" s="69" t="s">
        <v>82</v>
      </c>
      <c r="C55" s="73"/>
      <c r="D55" s="73"/>
      <c r="E55" s="72"/>
      <c r="F55" s="73" t="s">
        <v>39</v>
      </c>
      <c r="G55" s="75"/>
      <c r="H55" s="75"/>
      <c r="I55" s="76"/>
      <c r="J55" s="77"/>
      <c r="K55" s="89"/>
      <c r="L55" s="90"/>
      <c r="M55" s="92"/>
      <c r="N55" s="92"/>
      <c r="O55" s="92"/>
      <c r="P55" s="94"/>
      <c r="Q55" s="94"/>
      <c r="R55" s="94"/>
      <c r="S55" s="94"/>
      <c r="T55" s="94"/>
      <c r="U55" s="80"/>
      <c r="V55" s="80"/>
      <c r="W55" s="80"/>
      <c r="X55" s="80"/>
      <c r="Y55" s="92"/>
      <c r="Z55" s="92"/>
      <c r="AA55" s="92"/>
      <c r="AB55" s="92"/>
      <c r="AC55" s="92"/>
      <c r="AD55" s="92"/>
      <c r="AE55" s="95"/>
      <c r="AF55" s="95"/>
      <c r="AG55" s="95"/>
      <c r="AH55" s="95"/>
      <c r="AI55" s="95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6"/>
      <c r="AU55" s="96"/>
      <c r="AV55" s="96"/>
      <c r="AW55" s="96"/>
      <c r="AX55" s="96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7"/>
      <c r="BJ55" s="97"/>
      <c r="BK55" s="97"/>
      <c r="BL55" s="97"/>
      <c r="BM55" s="97"/>
      <c r="BN55" s="92"/>
      <c r="BO55" s="92"/>
      <c r="BP55" s="92"/>
      <c r="BQ55" s="92"/>
      <c r="BR55" s="98"/>
      <c r="BS55" s="68"/>
    </row>
    <row r="56" ht="17.25" customHeight="1" outlineLevel="1">
      <c r="A56" s="68"/>
      <c r="B56" s="69">
        <v>3.3</v>
      </c>
      <c r="C56" s="70" t="s">
        <v>83</v>
      </c>
      <c r="D56" s="71"/>
      <c r="E56" s="72"/>
      <c r="F56" s="73" t="s">
        <v>39</v>
      </c>
      <c r="G56" s="75"/>
      <c r="H56" s="75"/>
      <c r="I56" s="76">
        <v>0.0</v>
      </c>
      <c r="J56" s="77">
        <v>0.0</v>
      </c>
      <c r="K56" s="89"/>
      <c r="L56" s="90"/>
      <c r="M56" s="91"/>
      <c r="N56" s="91"/>
      <c r="O56" s="92"/>
      <c r="P56" s="94"/>
      <c r="Q56" s="94"/>
      <c r="R56" s="94"/>
      <c r="S56" s="94"/>
      <c r="T56" s="94"/>
      <c r="U56" s="80"/>
      <c r="V56" s="80"/>
      <c r="W56" s="80"/>
      <c r="X56" s="80"/>
      <c r="Y56" s="92"/>
      <c r="Z56" s="92"/>
      <c r="AA56" s="92"/>
      <c r="AB56" s="92"/>
      <c r="AC56" s="92"/>
      <c r="AD56" s="92"/>
      <c r="AE56" s="95"/>
      <c r="AF56" s="95"/>
      <c r="AG56" s="95"/>
      <c r="AH56" s="95"/>
      <c r="AI56" s="95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6"/>
      <c r="AU56" s="96"/>
      <c r="AV56" s="96"/>
      <c r="AW56" s="96"/>
      <c r="AX56" s="96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7"/>
      <c r="BJ56" s="97"/>
      <c r="BK56" s="97"/>
      <c r="BL56" s="97"/>
      <c r="BM56" s="97"/>
      <c r="BN56" s="92"/>
      <c r="BO56" s="92"/>
      <c r="BP56" s="92"/>
      <c r="BQ56" s="92"/>
      <c r="BR56" s="98"/>
      <c r="BS56" s="68"/>
    </row>
    <row r="57" ht="17.25" customHeight="1" outlineLevel="1">
      <c r="A57" s="68"/>
      <c r="B57" s="69" t="s">
        <v>79</v>
      </c>
      <c r="C57" s="73"/>
      <c r="D57" s="73" t="s">
        <v>84</v>
      </c>
      <c r="E57" s="72"/>
      <c r="F57" s="73" t="s">
        <v>85</v>
      </c>
      <c r="G57" s="75"/>
      <c r="H57" s="75"/>
      <c r="I57" s="76">
        <v>0.0</v>
      </c>
      <c r="J57" s="77">
        <v>0.0</v>
      </c>
      <c r="K57" s="89"/>
      <c r="L57" s="90"/>
      <c r="M57" s="92"/>
      <c r="N57" s="92"/>
      <c r="O57" s="92"/>
      <c r="P57" s="94"/>
      <c r="Q57" s="94"/>
      <c r="R57" s="94"/>
      <c r="S57" s="94"/>
      <c r="T57" s="94"/>
      <c r="U57" s="80"/>
      <c r="V57" s="80"/>
      <c r="W57" s="80"/>
      <c r="X57" s="80"/>
      <c r="Y57" s="92"/>
      <c r="Z57" s="92"/>
      <c r="AA57" s="92"/>
      <c r="AB57" s="92"/>
      <c r="AC57" s="92"/>
      <c r="AD57" s="92"/>
      <c r="AE57" s="95"/>
      <c r="AF57" s="95"/>
      <c r="AG57" s="95"/>
      <c r="AH57" s="95"/>
      <c r="AI57" s="95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6"/>
      <c r="AU57" s="96"/>
      <c r="AV57" s="96"/>
      <c r="AW57" s="96"/>
      <c r="AX57" s="96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7"/>
      <c r="BJ57" s="97"/>
      <c r="BK57" s="97"/>
      <c r="BL57" s="97"/>
      <c r="BM57" s="97"/>
      <c r="BN57" s="92"/>
      <c r="BO57" s="92"/>
      <c r="BP57" s="92"/>
      <c r="BQ57" s="92"/>
      <c r="BR57" s="98"/>
      <c r="BS57" s="68"/>
    </row>
    <row r="58" ht="21.0" customHeight="1">
      <c r="A58" s="36"/>
      <c r="B58" s="60">
        <v>5.0</v>
      </c>
      <c r="C58" s="61"/>
      <c r="D58" s="61" t="s">
        <v>86</v>
      </c>
      <c r="E58" s="62"/>
      <c r="F58" s="63"/>
      <c r="G58" s="63"/>
      <c r="H58" s="63"/>
      <c r="I58" s="63"/>
      <c r="J58" s="63"/>
      <c r="K58" s="64"/>
      <c r="L58" s="65"/>
      <c r="M58" s="66"/>
      <c r="N58" s="66"/>
      <c r="O58" s="67"/>
      <c r="P58" s="64"/>
      <c r="Q58" s="67"/>
      <c r="R58" s="64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36"/>
    </row>
    <row r="59" ht="17.25" customHeight="1" outlineLevel="1">
      <c r="A59" s="68"/>
      <c r="B59" s="69">
        <v>4.1</v>
      </c>
      <c r="C59" s="73"/>
      <c r="D59" s="73" t="s">
        <v>87</v>
      </c>
      <c r="E59" s="72"/>
      <c r="F59" s="73" t="s">
        <v>39</v>
      </c>
      <c r="G59" s="75"/>
      <c r="H59" s="75"/>
      <c r="I59" s="76">
        <v>0.0</v>
      </c>
      <c r="J59" s="77">
        <v>0.1</v>
      </c>
      <c r="K59" s="78"/>
      <c r="L59" s="79"/>
      <c r="M59" s="80"/>
      <c r="N59" s="80"/>
      <c r="O59" s="80"/>
      <c r="P59" s="83"/>
      <c r="Q59" s="83"/>
      <c r="R59" s="83"/>
      <c r="S59" s="83"/>
      <c r="T59" s="83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5"/>
      <c r="AF59" s="85"/>
      <c r="AG59" s="85"/>
      <c r="AH59" s="85"/>
      <c r="AI59" s="85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6"/>
      <c r="AU59" s="86"/>
      <c r="AV59" s="86"/>
      <c r="AW59" s="86"/>
      <c r="AX59" s="86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7"/>
      <c r="BJ59" s="87"/>
      <c r="BK59" s="87"/>
      <c r="BL59" s="87"/>
      <c r="BM59" s="87"/>
      <c r="BN59" s="84"/>
      <c r="BO59" s="84"/>
      <c r="BP59" s="84"/>
      <c r="BQ59" s="84"/>
      <c r="BR59" s="88"/>
      <c r="BS59" s="68"/>
    </row>
    <row r="60" ht="17.25" customHeight="1" outlineLevel="1">
      <c r="A60" s="68"/>
      <c r="B60" s="69">
        <v>4.2</v>
      </c>
      <c r="C60" s="73"/>
      <c r="D60" s="73" t="s">
        <v>88</v>
      </c>
      <c r="E60" s="72"/>
      <c r="F60" s="73" t="s">
        <v>39</v>
      </c>
      <c r="G60" s="75"/>
      <c r="H60" s="75"/>
      <c r="I60" s="76">
        <v>0.0</v>
      </c>
      <c r="J60" s="77">
        <v>0.8</v>
      </c>
      <c r="K60" s="89"/>
      <c r="L60" s="90"/>
      <c r="M60" s="91"/>
      <c r="N60" s="91"/>
      <c r="O60" s="92"/>
      <c r="P60" s="83"/>
      <c r="Q60" s="83"/>
      <c r="R60" s="83"/>
      <c r="S60" s="83"/>
      <c r="T60" s="83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5"/>
      <c r="AF60" s="95"/>
      <c r="AG60" s="95"/>
      <c r="AH60" s="95"/>
      <c r="AI60" s="95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6"/>
      <c r="AU60" s="96"/>
      <c r="AV60" s="96"/>
      <c r="AW60" s="96"/>
      <c r="AX60" s="96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7"/>
      <c r="BJ60" s="97"/>
      <c r="BK60" s="97"/>
      <c r="BL60" s="97"/>
      <c r="BM60" s="97"/>
      <c r="BN60" s="92"/>
      <c r="BO60" s="92"/>
      <c r="BP60" s="92"/>
      <c r="BQ60" s="92"/>
      <c r="BR60" s="98"/>
      <c r="BS60" s="68"/>
    </row>
    <row r="61" ht="17.25" customHeight="1" outlineLevel="1">
      <c r="A61" s="68"/>
      <c r="B61" s="69">
        <v>4.3</v>
      </c>
      <c r="C61" s="73"/>
      <c r="D61" s="73" t="s">
        <v>89</v>
      </c>
      <c r="E61" s="72"/>
      <c r="F61" s="73" t="s">
        <v>39</v>
      </c>
      <c r="G61" s="75"/>
      <c r="H61" s="75"/>
      <c r="I61" s="76">
        <v>0.0</v>
      </c>
      <c r="J61" s="77">
        <v>0.0</v>
      </c>
      <c r="K61" s="89"/>
      <c r="L61" s="90"/>
      <c r="M61" s="91"/>
      <c r="N61" s="91"/>
      <c r="O61" s="92"/>
      <c r="P61" s="83"/>
      <c r="Q61" s="83"/>
      <c r="R61" s="83"/>
      <c r="S61" s="83"/>
      <c r="T61" s="83"/>
      <c r="U61" s="80"/>
      <c r="V61" s="80"/>
      <c r="W61" s="80"/>
      <c r="X61" s="80"/>
      <c r="Y61" s="92"/>
      <c r="Z61" s="92"/>
      <c r="AA61" s="92"/>
      <c r="AB61" s="92"/>
      <c r="AC61" s="92"/>
      <c r="AD61" s="92"/>
      <c r="AE61" s="95"/>
      <c r="AF61" s="95"/>
      <c r="AG61" s="95"/>
      <c r="AH61" s="95"/>
      <c r="AI61" s="95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6"/>
      <c r="AU61" s="96"/>
      <c r="AV61" s="96"/>
      <c r="AW61" s="96"/>
      <c r="AX61" s="96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7"/>
      <c r="BJ61" s="97"/>
      <c r="BK61" s="97"/>
      <c r="BL61" s="97"/>
      <c r="BM61" s="97"/>
      <c r="BN61" s="92"/>
      <c r="BO61" s="92"/>
      <c r="BP61" s="92"/>
      <c r="BQ61" s="92"/>
      <c r="BR61" s="98"/>
      <c r="BS61" s="68"/>
    </row>
    <row r="62" ht="17.25" customHeight="1" outlineLevel="1">
      <c r="A62" s="68"/>
      <c r="B62" s="69">
        <v>4.4</v>
      </c>
      <c r="C62" s="73"/>
      <c r="D62" s="73" t="s">
        <v>90</v>
      </c>
      <c r="E62" s="72"/>
      <c r="F62" s="73" t="s">
        <v>39</v>
      </c>
      <c r="G62" s="75"/>
      <c r="H62" s="75"/>
      <c r="I62" s="76">
        <v>0.0</v>
      </c>
      <c r="J62" s="111">
        <v>0.8</v>
      </c>
      <c r="K62" s="89"/>
      <c r="L62" s="90"/>
      <c r="M62" s="91"/>
      <c r="N62" s="91"/>
      <c r="O62" s="92"/>
      <c r="P62" s="83"/>
      <c r="Q62" s="83"/>
      <c r="R62" s="83"/>
      <c r="S62" s="83"/>
      <c r="T62" s="83"/>
      <c r="U62" s="80"/>
      <c r="V62" s="80"/>
      <c r="W62" s="80"/>
      <c r="X62" s="80"/>
      <c r="Y62" s="92"/>
      <c r="Z62" s="92"/>
      <c r="AA62" s="92"/>
      <c r="AB62" s="92"/>
      <c r="AC62" s="92"/>
      <c r="AD62" s="92"/>
      <c r="AE62" s="95"/>
      <c r="AF62" s="95"/>
      <c r="AG62" s="95"/>
      <c r="AH62" s="95"/>
      <c r="AI62" s="95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6"/>
      <c r="AU62" s="96"/>
      <c r="AV62" s="96"/>
      <c r="AW62" s="96"/>
      <c r="AX62" s="96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7"/>
      <c r="BJ62" s="97"/>
      <c r="BK62" s="97"/>
      <c r="BL62" s="97"/>
      <c r="BM62" s="97"/>
      <c r="BN62" s="92"/>
      <c r="BO62" s="92"/>
      <c r="BP62" s="92"/>
      <c r="BQ62" s="92"/>
      <c r="BR62" s="98"/>
      <c r="BS62" s="68"/>
    </row>
    <row r="63" ht="17.25" customHeight="1" outlineLevel="1">
      <c r="A63" s="68"/>
      <c r="B63" s="69">
        <v>4.5</v>
      </c>
      <c r="C63" s="73"/>
      <c r="D63" s="73" t="s">
        <v>91</v>
      </c>
      <c r="E63" s="72"/>
      <c r="F63" s="73" t="s">
        <v>39</v>
      </c>
      <c r="G63" s="75"/>
      <c r="H63" s="75"/>
      <c r="I63" s="76">
        <v>0.0</v>
      </c>
      <c r="J63" s="111">
        <v>0.8</v>
      </c>
      <c r="K63" s="89"/>
      <c r="L63" s="90"/>
      <c r="M63" s="91"/>
      <c r="N63" s="91"/>
      <c r="O63" s="92"/>
      <c r="P63" s="83"/>
      <c r="Q63" s="83"/>
      <c r="R63" s="83"/>
      <c r="S63" s="83"/>
      <c r="T63" s="83"/>
      <c r="U63" s="80"/>
      <c r="V63" s="80"/>
      <c r="W63" s="80"/>
      <c r="X63" s="80"/>
      <c r="Y63" s="92"/>
      <c r="Z63" s="92"/>
      <c r="AA63" s="92"/>
      <c r="AB63" s="92"/>
      <c r="AC63" s="92"/>
      <c r="AD63" s="92"/>
      <c r="AE63" s="95"/>
      <c r="AF63" s="95"/>
      <c r="AG63" s="95"/>
      <c r="AH63" s="95"/>
      <c r="AI63" s="95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6"/>
      <c r="AU63" s="96"/>
      <c r="AV63" s="96"/>
      <c r="AW63" s="96"/>
      <c r="AX63" s="96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7"/>
      <c r="BJ63" s="97"/>
      <c r="BK63" s="97"/>
      <c r="BL63" s="97"/>
      <c r="BM63" s="97"/>
      <c r="BN63" s="92"/>
      <c r="BO63" s="92"/>
      <c r="BP63" s="92"/>
      <c r="BQ63" s="92"/>
      <c r="BR63" s="98"/>
      <c r="BS63" s="68"/>
    </row>
    <row r="64" ht="21.0" customHeight="1">
      <c r="A64" s="36"/>
      <c r="B64" s="36"/>
      <c r="C64" s="36"/>
      <c r="D64" s="36"/>
      <c r="E64" s="112"/>
      <c r="F64" s="36"/>
      <c r="G64" s="36"/>
      <c r="H64" s="36"/>
      <c r="I64" s="113"/>
      <c r="J64" s="113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</row>
    <row r="65" ht="21.0" customHeight="1">
      <c r="A65" s="36"/>
      <c r="B65" s="36"/>
      <c r="C65" s="36"/>
      <c r="D65" s="36"/>
      <c r="E65" s="112"/>
      <c r="F65" s="36"/>
      <c r="G65" s="36"/>
      <c r="H65" s="36"/>
      <c r="I65" s="113"/>
      <c r="J65" s="113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</row>
    <row r="66" ht="21.0" customHeight="1">
      <c r="A66" s="36"/>
      <c r="B66" s="36"/>
      <c r="C66" s="36"/>
      <c r="D66" s="36"/>
      <c r="E66" s="112"/>
      <c r="F66" s="36"/>
      <c r="G66" s="36"/>
      <c r="H66" s="36"/>
      <c r="I66" s="113"/>
      <c r="J66" s="113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</row>
    <row r="67" ht="21.0" customHeight="1">
      <c r="A67" s="36"/>
      <c r="B67" s="36"/>
      <c r="C67" s="36"/>
      <c r="D67" s="36"/>
      <c r="E67" s="112"/>
      <c r="F67" s="36"/>
      <c r="G67" s="36"/>
      <c r="H67" s="36"/>
      <c r="I67" s="113"/>
      <c r="J67" s="113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</row>
    <row r="68" ht="21.0" customHeight="1">
      <c r="A68" s="36"/>
      <c r="B68" s="36"/>
      <c r="C68" s="36"/>
      <c r="D68" s="36"/>
      <c r="E68" s="112"/>
      <c r="F68" s="36"/>
      <c r="G68" s="36"/>
      <c r="H68" s="36"/>
      <c r="I68" s="113"/>
      <c r="J68" s="113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</row>
  </sheetData>
  <mergeCells count="54">
    <mergeCell ref="AY9:BC9"/>
    <mergeCell ref="BD9:BH9"/>
    <mergeCell ref="BI9:BM9"/>
    <mergeCell ref="BN9:BR9"/>
    <mergeCell ref="H8:H10"/>
    <mergeCell ref="I8:I10"/>
    <mergeCell ref="J8:J10"/>
    <mergeCell ref="K8:Y8"/>
    <mergeCell ref="Z8:AN8"/>
    <mergeCell ref="AO8:BC8"/>
    <mergeCell ref="BD8:BR8"/>
    <mergeCell ref="C12:D12"/>
    <mergeCell ref="C21:D21"/>
    <mergeCell ref="C27:D27"/>
    <mergeCell ref="C29:D29"/>
    <mergeCell ref="C34:D34"/>
    <mergeCell ref="C35:D35"/>
    <mergeCell ref="C36:D36"/>
    <mergeCell ref="C45:D45"/>
    <mergeCell ref="C46:D46"/>
    <mergeCell ref="C48:D48"/>
    <mergeCell ref="C52:D52"/>
    <mergeCell ref="C56:D56"/>
    <mergeCell ref="C37:D37"/>
    <mergeCell ref="C38:D38"/>
    <mergeCell ref="C39:D39"/>
    <mergeCell ref="C40:D40"/>
    <mergeCell ref="C41:D41"/>
    <mergeCell ref="C43:D43"/>
    <mergeCell ref="C44:D44"/>
    <mergeCell ref="K5:Q5"/>
    <mergeCell ref="R5:AC5"/>
    <mergeCell ref="B2:I2"/>
    <mergeCell ref="K2:P2"/>
    <mergeCell ref="Q2:AG2"/>
    <mergeCell ref="B4:D4"/>
    <mergeCell ref="K4:Q4"/>
    <mergeCell ref="R4:AD4"/>
    <mergeCell ref="B5:D5"/>
    <mergeCell ref="K9:O9"/>
    <mergeCell ref="P9:T9"/>
    <mergeCell ref="U9:Y9"/>
    <mergeCell ref="Z9:AD9"/>
    <mergeCell ref="AE9:AI9"/>
    <mergeCell ref="AJ9:AN9"/>
    <mergeCell ref="AO9:AS9"/>
    <mergeCell ref="AT9:AX9"/>
    <mergeCell ref="F4:I4"/>
    <mergeCell ref="F5:I5"/>
    <mergeCell ref="B8:B10"/>
    <mergeCell ref="D8:D10"/>
    <mergeCell ref="E8:E10"/>
    <mergeCell ref="F8:F10"/>
    <mergeCell ref="G8:G10"/>
  </mergeCells>
  <conditionalFormatting sqref="J12:J32 J34:J41 J43:J63">
    <cfRule type="colorScale" priority="1">
      <colorScale>
        <cfvo type="min"/>
        <cfvo type="max"/>
        <color rgb="FFFFFFFF"/>
        <color rgb="FF57BB8A"/>
      </colorScale>
    </cfRule>
  </conditionalFormatting>
  <conditionalFormatting sqref="J12:J32 J34:J41 J43:J6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3">
      <c r="A3" s="114" t="s">
        <v>43</v>
      </c>
      <c r="B3" s="114" t="s">
        <v>38</v>
      </c>
      <c r="C3" s="115">
        <v>45881.0</v>
      </c>
      <c r="D3" s="116">
        <v>2.0</v>
      </c>
      <c r="E3" s="115">
        <v>45883.0</v>
      </c>
    </row>
    <row r="4">
      <c r="A4" s="114" t="s">
        <v>45</v>
      </c>
      <c r="B4" s="114" t="s">
        <v>38</v>
      </c>
      <c r="C4" s="115">
        <v>45883.0</v>
      </c>
      <c r="D4" s="116">
        <v>3.0</v>
      </c>
      <c r="E4" s="115">
        <v>45886.0</v>
      </c>
    </row>
    <row r="5">
      <c r="A5" s="114" t="s">
        <v>47</v>
      </c>
      <c r="B5" s="114" t="s">
        <v>38</v>
      </c>
      <c r="C5" s="115">
        <v>45886.0</v>
      </c>
      <c r="D5" s="116">
        <v>5.0</v>
      </c>
      <c r="E5" s="115">
        <v>45891.0</v>
      </c>
    </row>
    <row r="6">
      <c r="A6" s="114" t="s">
        <v>49</v>
      </c>
      <c r="B6" s="114" t="s">
        <v>38</v>
      </c>
      <c r="C6" s="115">
        <v>45891.0</v>
      </c>
      <c r="D6" s="116">
        <v>5.0</v>
      </c>
      <c r="E6" s="115">
        <v>45896.0</v>
      </c>
    </row>
    <row r="7">
      <c r="A7" s="114" t="s">
        <v>51</v>
      </c>
      <c r="B7" s="114" t="s">
        <v>38</v>
      </c>
      <c r="C7" s="115">
        <v>45896.0</v>
      </c>
      <c r="D7" s="116">
        <v>7.0</v>
      </c>
      <c r="E7" s="115">
        <v>45903.0</v>
      </c>
    </row>
    <row r="8">
      <c r="A8" s="114" t="s">
        <v>53</v>
      </c>
      <c r="B8" s="114" t="s">
        <v>38</v>
      </c>
      <c r="C8" s="115">
        <v>45903.0</v>
      </c>
      <c r="D8" s="116">
        <v>5.0</v>
      </c>
      <c r="E8" s="115">
        <v>45908.0</v>
      </c>
    </row>
    <row r="9">
      <c r="A9" s="114" t="s">
        <v>55</v>
      </c>
      <c r="B9" s="114" t="s">
        <v>38</v>
      </c>
      <c r="C9" s="115">
        <v>45908.0</v>
      </c>
      <c r="D9" s="116">
        <v>10.0</v>
      </c>
      <c r="E9" s="115">
        <v>45918.0</v>
      </c>
    </row>
    <row r="10">
      <c r="A10" s="114" t="s">
        <v>92</v>
      </c>
      <c r="B10" s="114" t="s">
        <v>93</v>
      </c>
      <c r="C10" s="115">
        <v>45881.0</v>
      </c>
      <c r="D10" s="116">
        <v>3.0</v>
      </c>
      <c r="E10" s="115">
        <v>45884.0</v>
      </c>
    </row>
    <row r="11">
      <c r="A11" s="114" t="s">
        <v>94</v>
      </c>
      <c r="B11" s="114" t="s">
        <v>93</v>
      </c>
      <c r="C11" s="115">
        <v>45884.0</v>
      </c>
      <c r="D11" s="116">
        <v>4.0</v>
      </c>
      <c r="E11" s="115">
        <v>45888.0</v>
      </c>
    </row>
    <row r="12">
      <c r="A12" s="114" t="s">
        <v>95</v>
      </c>
      <c r="B12" s="114" t="s">
        <v>93</v>
      </c>
      <c r="C12" s="115">
        <v>45888.0</v>
      </c>
      <c r="D12" s="116">
        <v>7.0</v>
      </c>
      <c r="E12" s="115">
        <v>45895.0</v>
      </c>
    </row>
    <row r="13">
      <c r="A13" s="114" t="s">
        <v>96</v>
      </c>
      <c r="B13" s="114" t="s">
        <v>93</v>
      </c>
      <c r="C13" s="115">
        <v>45895.0</v>
      </c>
      <c r="D13" s="116">
        <v>5.0</v>
      </c>
      <c r="E13" s="115">
        <v>45900.0</v>
      </c>
    </row>
    <row r="14">
      <c r="A14" s="114" t="s">
        <v>97</v>
      </c>
      <c r="B14" s="114" t="s">
        <v>93</v>
      </c>
      <c r="C14" s="115">
        <v>45900.0</v>
      </c>
      <c r="D14" s="116">
        <v>5.0</v>
      </c>
      <c r="E14" s="115">
        <v>45905.0</v>
      </c>
    </row>
    <row r="15">
      <c r="A15" s="114" t="s">
        <v>63</v>
      </c>
      <c r="B15" s="114" t="s">
        <v>98</v>
      </c>
      <c r="C15" s="115">
        <v>45881.0</v>
      </c>
      <c r="D15" s="116">
        <v>5.0</v>
      </c>
      <c r="E15" s="115">
        <v>45886.0</v>
      </c>
    </row>
    <row r="16">
      <c r="A16" s="114" t="s">
        <v>64</v>
      </c>
      <c r="B16" s="114" t="s">
        <v>98</v>
      </c>
      <c r="C16" s="115">
        <v>45886.0</v>
      </c>
      <c r="D16" s="116">
        <v>4.0</v>
      </c>
      <c r="E16" s="115">
        <v>45890.0</v>
      </c>
    </row>
    <row r="17">
      <c r="A17" s="114" t="s">
        <v>65</v>
      </c>
      <c r="B17" s="114" t="s">
        <v>98</v>
      </c>
      <c r="C17" s="115">
        <v>45890.0</v>
      </c>
      <c r="D17" s="116">
        <v>10.0</v>
      </c>
      <c r="E17" s="115">
        <v>45900.0</v>
      </c>
    </row>
    <row r="18">
      <c r="A18" s="114" t="s">
        <v>66</v>
      </c>
      <c r="B18" s="114" t="s">
        <v>98</v>
      </c>
      <c r="C18" s="115">
        <v>45900.0</v>
      </c>
      <c r="D18" s="116">
        <v>8.0</v>
      </c>
      <c r="E18" s="115">
        <v>45908.0</v>
      </c>
    </row>
    <row r="19">
      <c r="A19" s="114" t="s">
        <v>67</v>
      </c>
      <c r="B19" s="114" t="s">
        <v>98</v>
      </c>
      <c r="C19" s="115">
        <v>45908.0</v>
      </c>
      <c r="D19" s="116">
        <v>7.0</v>
      </c>
      <c r="E19" s="115">
        <v>45915.0</v>
      </c>
    </row>
    <row r="20">
      <c r="A20" s="114" t="s">
        <v>68</v>
      </c>
      <c r="B20" s="114" t="s">
        <v>98</v>
      </c>
      <c r="C20" s="115">
        <v>45915.0</v>
      </c>
      <c r="D20" s="116">
        <v>5.0</v>
      </c>
      <c r="E20" s="115">
        <v>45920.0</v>
      </c>
    </row>
    <row r="21">
      <c r="A21" s="114" t="s">
        <v>69</v>
      </c>
      <c r="B21" s="114" t="s">
        <v>98</v>
      </c>
      <c r="C21" s="115">
        <v>45920.0</v>
      </c>
      <c r="D21" s="116">
        <v>2.0</v>
      </c>
      <c r="E21" s="115">
        <v>45922.0</v>
      </c>
    </row>
  </sheetData>
  <drawing r:id="rId1"/>
</worksheet>
</file>